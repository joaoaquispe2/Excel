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2-Fórmulas\"/>
    </mc:Choice>
  </mc:AlternateContent>
  <xr:revisionPtr revIDLastSave="0" documentId="13_ncr:1_{666D32AE-DE2B-4E2F-9A3A-7AAB15DED8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roducción" sheetId="1" r:id="rId1"/>
    <sheet name="Operadores" sheetId="2" r:id="rId2"/>
    <sheet name="Fun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2" l="1"/>
  <c r="K9" i="2"/>
  <c r="F9" i="2"/>
  <c r="F14" i="2"/>
  <c r="E14" i="2"/>
  <c r="K13" i="2"/>
  <c r="F13" i="2"/>
  <c r="E13" i="2"/>
  <c r="J12" i="2"/>
  <c r="F12" i="2"/>
  <c r="E12" i="2"/>
  <c r="K11" i="2"/>
  <c r="J11" i="2"/>
  <c r="F11" i="2"/>
  <c r="E11" i="2"/>
  <c r="K10" i="2"/>
  <c r="J10" i="2"/>
  <c r="F10" i="2"/>
  <c r="E10" i="2"/>
  <c r="J9" i="2"/>
  <c r="E9" i="2"/>
  <c r="P8" i="2"/>
  <c r="K8" i="2"/>
  <c r="J8" i="2"/>
  <c r="H8" i="2"/>
  <c r="F8" i="2"/>
  <c r="E8" i="2"/>
  <c r="F20" i="1"/>
  <c r="F18" i="1"/>
  <c r="F16" i="1"/>
  <c r="F14" i="1"/>
</calcChain>
</file>

<file path=xl/sharedStrings.xml><?xml version="1.0" encoding="utf-8"?>
<sst xmlns="http://schemas.openxmlformats.org/spreadsheetml/2006/main" count="107" uniqueCount="98">
  <si>
    <t>Las fórmulas en Excel permiten expresar operaciones con los distintos tipos de datos que se tiene</t>
  </si>
  <si>
    <t>Las fórmulas siempre inician con un símbolo "=" y pueden referenciar a valores de otra celda de la Hoja o el Libro</t>
  </si>
  <si>
    <t>Existen múltiples tipos de fórmulas como matemáticas, de texto, de fechas, estadísticos, etc</t>
  </si>
  <si>
    <t>Texto</t>
  </si>
  <si>
    <t>Referencias de Celdas</t>
  </si>
  <si>
    <t>Operadores</t>
  </si>
  <si>
    <t>Funciones de Excel</t>
  </si>
  <si>
    <t>Dentro de una fórmula pueden incluirse los siguientes elementos</t>
  </si>
  <si>
    <t>Operadores Aritméticos</t>
  </si>
  <si>
    <t>Operadores de Comparación</t>
  </si>
  <si>
    <t>Operadores de Concatenación</t>
  </si>
  <si>
    <t>Operador</t>
  </si>
  <si>
    <t>Nombre</t>
  </si>
  <si>
    <t>Ejemplo</t>
  </si>
  <si>
    <t>Resultado</t>
  </si>
  <si>
    <t>+</t>
  </si>
  <si>
    <t>Suma</t>
  </si>
  <si>
    <t>Igual a</t>
  </si>
  <si>
    <t>&amp;</t>
  </si>
  <si>
    <t>Concatenar</t>
  </si>
  <si>
    <t>"Hola"&amp;" Juan"</t>
  </si>
  <si>
    <t>-</t>
  </si>
  <si>
    <t>Resta</t>
  </si>
  <si>
    <t>&gt;</t>
  </si>
  <si>
    <t>Mayor que</t>
  </si>
  <si>
    <t>Negación</t>
  </si>
  <si>
    <t>&lt;</t>
  </si>
  <si>
    <t>Menor que</t>
  </si>
  <si>
    <t>*</t>
  </si>
  <si>
    <t>Multiplicación</t>
  </si>
  <si>
    <t>&gt;=</t>
  </si>
  <si>
    <t>Mayor o igual que</t>
  </si>
  <si>
    <t>/</t>
  </si>
  <si>
    <t>División</t>
  </si>
  <si>
    <t>&lt;=</t>
  </si>
  <si>
    <t>Menor o igual que</t>
  </si>
  <si>
    <t>%</t>
  </si>
  <si>
    <t>Porcentaje</t>
  </si>
  <si>
    <t>&lt;&gt;</t>
  </si>
  <si>
    <t>Diferente de</t>
  </si>
  <si>
    <t>"a"&lt;&gt;"b"</t>
  </si>
  <si>
    <t>^</t>
  </si>
  <si>
    <t>Potencia</t>
  </si>
  <si>
    <t>Dentro de Excel hay una gran variedad de operadores que podemos dividir en tres grandes grupos</t>
  </si>
  <si>
    <t>Excel también brinda una serie de funciones predefinidas que realizan operaciones complejas, entre ellas tenemos</t>
  </si>
  <si>
    <t>Funciones Matemáticas</t>
  </si>
  <si>
    <t>COUNT</t>
  </si>
  <si>
    <t>COUNTA</t>
  </si>
  <si>
    <t>SUM</t>
  </si>
  <si>
    <t>MIN</t>
  </si>
  <si>
    <t>MAX</t>
  </si>
  <si>
    <t>AVERAGE</t>
  </si>
  <si>
    <t>Cuenta celdas que tienen un dato numérico</t>
  </si>
  <si>
    <t>Cuenta celdas que no estén vacías</t>
  </si>
  <si>
    <t>Suma un rango de celdas</t>
  </si>
  <si>
    <t>Devuelve el valor mínimo de un rango</t>
  </si>
  <si>
    <t>Devuelve el valor máximo de un rango</t>
  </si>
  <si>
    <t>Devuelve el promedio en un rango</t>
  </si>
  <si>
    <t>Funciones Lógicas</t>
  </si>
  <si>
    <t>IF</t>
  </si>
  <si>
    <t>AND</t>
  </si>
  <si>
    <t>OR</t>
  </si>
  <si>
    <t>IFERROR</t>
  </si>
  <si>
    <t>Evalúa una expresión lógica y retorna un valor en caso sea Verdadero y otro valor en un caso Falso</t>
  </si>
  <si>
    <t>Evalúa varias expresiones y devuelve verdadero si todas las expresiones lo son</t>
  </si>
  <si>
    <t>Evalúa varias expresiones y devuelve falso si todas las expresiones lo son</t>
  </si>
  <si>
    <t>Evalúa una expresión y devuelve un valor en caso se presente un ERROR</t>
  </si>
  <si>
    <t>Funciones de Búsqueda</t>
  </si>
  <si>
    <t>Funciones de Texto</t>
  </si>
  <si>
    <t>Funciones de Fechas</t>
  </si>
  <si>
    <t>LEFT</t>
  </si>
  <si>
    <t>RIGHT</t>
  </si>
  <si>
    <t>MID</t>
  </si>
  <si>
    <t>TEXTJOIN</t>
  </si>
  <si>
    <t>TRIM</t>
  </si>
  <si>
    <t>Extrae una cantidad específica de caracteres desde el inicio</t>
  </si>
  <si>
    <t>Extrae una cantidad específica de caracteres desde el final</t>
  </si>
  <si>
    <t>Extrae caracteres del medio de una cadena, indicando donde comenzar y cúantos caracteres extraer</t>
  </si>
  <si>
    <t>Une varias cadenas separadas por un delimitador como un -</t>
  </si>
  <si>
    <t>Elimina espacios adicionales, al inicio, al final o en medio</t>
  </si>
  <si>
    <t>NOW</t>
  </si>
  <si>
    <t>TODAY</t>
  </si>
  <si>
    <t>DATE</t>
  </si>
  <si>
    <t>MONTH</t>
  </si>
  <si>
    <t>YEAR</t>
  </si>
  <si>
    <t>Retorna la fecha actual en formato fecha</t>
  </si>
  <si>
    <t>Retrona la fecha actual en formato fecha-hora</t>
  </si>
  <si>
    <t>Retorna el día de una fecha dada, un número del 1-31</t>
  </si>
  <si>
    <t>DAY</t>
  </si>
  <si>
    <t>Retorna una fecha de acuerdo a valores de excel</t>
  </si>
  <si>
    <t>Devuelve el año de una fecha dada, número del 1900-9999</t>
  </si>
  <si>
    <t>Devuelve el mes de una fecha dada, número del 1-12</t>
  </si>
  <si>
    <t>XLOOKUP</t>
  </si>
  <si>
    <t>Busca un valor en una matriz y devuelve un resultado referente</t>
  </si>
  <si>
    <t>LOOKUP</t>
  </si>
  <si>
    <t>VLOOKUP</t>
  </si>
  <si>
    <t>Busca un valor en a primera fila de una matriz horizontal y devuelve un resultado de acuerdo al orden de fila inidcado</t>
  </si>
  <si>
    <t>Busca un valor en la primera columna de una matriz vertical y devuelve un resultado de acuerdo al orden de columna inidcado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</si>
</sst>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FFABA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1" fillId="0" borderId="0" xfId="1" applyNumberFormat="1" applyFont="1" applyAlignment="1">
      <alignment horizontal="center" vertical="center" wrapText="1"/>
    </xf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7" borderId="0" xfId="0" applyFill="1" applyAlignment="1">
      <alignment horizontal="center" vertical="center" wrapText="1"/>
    </xf>
    <xf numFmtId="14" fontId="0" fillId="0" borderId="0" xfId="0" applyNumberFormat="1"/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0" fillId="4" borderId="0" xfId="0" applyFill="1" applyAlignment="1">
      <alignment horizontal="left" wrapText="1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ABAB"/>
      <color rgb="FFFF6969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C3:J21"/>
  <sheetViews>
    <sheetView workbookViewId="0">
      <selection activeCell="C25" sqref="C25"/>
    </sheetView>
  </sheetViews>
  <sheetFormatPr defaultRowHeight="14.4" x14ac:dyDescent="0.3"/>
  <cols>
    <col min="3" max="3" width="10.6640625" customWidth="1"/>
    <col min="4" max="4" width="9.44140625" customWidth="1"/>
  </cols>
  <sheetData>
    <row r="3" spans="3:10" x14ac:dyDescent="0.3">
      <c r="C3" s="19" t="s">
        <v>0</v>
      </c>
      <c r="D3" s="19"/>
      <c r="E3" s="19"/>
      <c r="F3" s="19"/>
      <c r="G3" s="19"/>
      <c r="H3" s="19"/>
    </row>
    <row r="4" spans="3:10" x14ac:dyDescent="0.3">
      <c r="C4" s="19"/>
      <c r="D4" s="19"/>
      <c r="E4" s="19"/>
      <c r="F4" s="19"/>
      <c r="G4" s="19"/>
      <c r="H4" s="19"/>
    </row>
    <row r="6" spans="3:10" x14ac:dyDescent="0.3">
      <c r="C6" s="19" t="s">
        <v>1</v>
      </c>
      <c r="D6" s="19"/>
      <c r="E6" s="19"/>
      <c r="F6" s="19"/>
      <c r="G6" s="19"/>
      <c r="H6" s="19"/>
    </row>
    <row r="7" spans="3:10" x14ac:dyDescent="0.3">
      <c r="C7" s="19"/>
      <c r="D7" s="19"/>
      <c r="E7" s="19"/>
      <c r="F7" s="19"/>
      <c r="G7" s="19"/>
      <c r="H7" s="19"/>
    </row>
    <row r="9" spans="3:10" x14ac:dyDescent="0.3">
      <c r="C9" s="19" t="s">
        <v>2</v>
      </c>
      <c r="D9" s="19"/>
      <c r="E9" s="19"/>
      <c r="F9" s="19"/>
      <c r="G9" s="19"/>
      <c r="H9" s="19"/>
    </row>
    <row r="10" spans="3:10" x14ac:dyDescent="0.3">
      <c r="C10" s="19"/>
      <c r="D10" s="19"/>
      <c r="E10" s="19"/>
      <c r="F10" s="19"/>
      <c r="G10" s="19"/>
      <c r="H10" s="19"/>
    </row>
    <row r="12" spans="3:10" ht="14.4" customHeight="1" x14ac:dyDescent="0.3">
      <c r="C12" s="19" t="s">
        <v>7</v>
      </c>
      <c r="D12" s="19"/>
      <c r="E12" s="19"/>
      <c r="F12" s="19"/>
      <c r="G12" s="19"/>
      <c r="H12" s="19"/>
    </row>
    <row r="13" spans="3:10" x14ac:dyDescent="0.3">
      <c r="C13" s="2"/>
      <c r="D13" s="2"/>
      <c r="E13" s="2"/>
      <c r="F13" s="2"/>
      <c r="G13" s="2"/>
      <c r="H13" s="2"/>
    </row>
    <row r="14" spans="3:10" x14ac:dyDescent="0.3">
      <c r="C14" s="18" t="s">
        <v>3</v>
      </c>
      <c r="D14" s="18"/>
      <c r="F14" s="5" t="str">
        <f>"Marzo"</f>
        <v>Marzo</v>
      </c>
    </row>
    <row r="15" spans="3:10" x14ac:dyDescent="0.3">
      <c r="C15" s="3"/>
      <c r="F15" s="1"/>
    </row>
    <row r="16" spans="3:10" x14ac:dyDescent="0.3">
      <c r="C16" s="18" t="s">
        <v>4</v>
      </c>
      <c r="D16" s="18"/>
      <c r="F16" s="5">
        <f>I16+H16+J16</f>
        <v>6</v>
      </c>
      <c r="H16" s="4">
        <v>1</v>
      </c>
      <c r="I16" s="4">
        <v>2</v>
      </c>
      <c r="J16" s="4">
        <v>3</v>
      </c>
    </row>
    <row r="17" spans="3:6" x14ac:dyDescent="0.3">
      <c r="C17" s="3"/>
      <c r="F17" s="1"/>
    </row>
    <row r="18" spans="3:6" x14ac:dyDescent="0.3">
      <c r="C18" s="18" t="s">
        <v>5</v>
      </c>
      <c r="D18" s="18"/>
      <c r="F18" s="5">
        <f>5*9</f>
        <v>45</v>
      </c>
    </row>
    <row r="19" spans="3:6" x14ac:dyDescent="0.3">
      <c r="C19" s="3"/>
      <c r="F19" s="1"/>
    </row>
    <row r="20" spans="3:6" x14ac:dyDescent="0.3">
      <c r="C20" s="18" t="s">
        <v>6</v>
      </c>
      <c r="D20" s="18"/>
      <c r="F20" s="5">
        <f>SUM(17,5)</f>
        <v>22</v>
      </c>
    </row>
    <row r="21" spans="3:6" x14ac:dyDescent="0.3">
      <c r="F21" s="1"/>
    </row>
  </sheetData>
  <mergeCells count="8">
    <mergeCell ref="C14:D14"/>
    <mergeCell ref="C16:D16"/>
    <mergeCell ref="C18:D18"/>
    <mergeCell ref="C20:D20"/>
    <mergeCell ref="C3:H4"/>
    <mergeCell ref="C6:H7"/>
    <mergeCell ref="C9:H10"/>
    <mergeCell ref="C12:H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B771-BB95-4711-9AF0-90D595629036}">
  <sheetPr>
    <tabColor rgb="FFFF7575"/>
  </sheetPr>
  <dimension ref="C3:P14"/>
  <sheetViews>
    <sheetView workbookViewId="0">
      <selection activeCell="D22" sqref="D22"/>
    </sheetView>
  </sheetViews>
  <sheetFormatPr defaultRowHeight="14.4" x14ac:dyDescent="0.3"/>
  <cols>
    <col min="3" max="3" width="8.77734375" bestFit="1" customWidth="1"/>
    <col min="4" max="4" width="13.44140625" customWidth="1"/>
    <col min="5" max="5" width="7.5546875" bestFit="1" customWidth="1"/>
    <col min="6" max="6" width="10.77734375" customWidth="1"/>
    <col min="8" max="8" width="8.77734375" bestFit="1" customWidth="1"/>
    <col min="9" max="9" width="17.33203125" customWidth="1"/>
    <col min="10" max="10" width="8.109375" bestFit="1" customWidth="1"/>
    <col min="11" max="11" width="11" customWidth="1"/>
    <col min="13" max="13" width="8.77734375" bestFit="1" customWidth="1"/>
    <col min="14" max="14" width="12" customWidth="1"/>
    <col min="15" max="15" width="15.6640625" customWidth="1"/>
    <col min="16" max="16" width="10.44140625" customWidth="1"/>
  </cols>
  <sheetData>
    <row r="3" spans="3:16" x14ac:dyDescent="0.3">
      <c r="C3" s="19" t="s">
        <v>43</v>
      </c>
      <c r="D3" s="19"/>
      <c r="E3" s="19"/>
      <c r="F3" s="19"/>
      <c r="G3" s="19"/>
      <c r="H3" s="19"/>
    </row>
    <row r="4" spans="3:16" x14ac:dyDescent="0.3">
      <c r="C4" s="19"/>
      <c r="D4" s="19"/>
      <c r="E4" s="19"/>
      <c r="F4" s="19"/>
      <c r="G4" s="19"/>
      <c r="H4" s="19"/>
    </row>
    <row r="6" spans="3:16" ht="14.4" customHeight="1" x14ac:dyDescent="0.3">
      <c r="C6" s="20" t="s">
        <v>8</v>
      </c>
      <c r="D6" s="20"/>
      <c r="E6" s="20"/>
      <c r="F6" s="20"/>
      <c r="G6" s="2"/>
      <c r="H6" s="20" t="s">
        <v>9</v>
      </c>
      <c r="I6" s="20"/>
      <c r="J6" s="20"/>
      <c r="K6" s="20"/>
      <c r="L6" s="2"/>
      <c r="M6" s="20" t="s">
        <v>10</v>
      </c>
      <c r="N6" s="20"/>
      <c r="O6" s="20"/>
      <c r="P6" s="20"/>
    </row>
    <row r="7" spans="3:16" ht="28.8" x14ac:dyDescent="0.3">
      <c r="C7" s="13" t="s">
        <v>11</v>
      </c>
      <c r="D7" s="13" t="s">
        <v>12</v>
      </c>
      <c r="E7" s="13" t="s">
        <v>13</v>
      </c>
      <c r="F7" s="13" t="s">
        <v>14</v>
      </c>
      <c r="G7" s="2"/>
      <c r="H7" s="13" t="s">
        <v>11</v>
      </c>
      <c r="I7" s="13" t="s">
        <v>12</v>
      </c>
      <c r="J7" s="13" t="s">
        <v>13</v>
      </c>
      <c r="K7" s="13" t="s">
        <v>14</v>
      </c>
      <c r="L7" s="2"/>
      <c r="M7" s="13" t="s">
        <v>11</v>
      </c>
      <c r="N7" s="13" t="s">
        <v>12</v>
      </c>
      <c r="O7" s="13" t="s">
        <v>13</v>
      </c>
      <c r="P7" s="13" t="s">
        <v>14</v>
      </c>
    </row>
    <row r="8" spans="3:16" x14ac:dyDescent="0.3">
      <c r="C8" s="6" t="s">
        <v>15</v>
      </c>
      <c r="D8" s="6" t="s">
        <v>16</v>
      </c>
      <c r="E8" s="6" t="str">
        <f>"4+5"</f>
        <v>4+5</v>
      </c>
      <c r="F8" s="6">
        <f>4+5</f>
        <v>9</v>
      </c>
      <c r="G8" s="6"/>
      <c r="H8" s="6" t="str">
        <f>"="</f>
        <v>=</v>
      </c>
      <c r="I8" s="6" t="s">
        <v>17</v>
      </c>
      <c r="J8" s="6" t="str">
        <f>"5=5"</f>
        <v>5=5</v>
      </c>
      <c r="K8" s="6" t="b">
        <f>5=5</f>
        <v>1</v>
      </c>
      <c r="L8" s="6"/>
      <c r="M8" s="6" t="s">
        <v>18</v>
      </c>
      <c r="N8" s="6" t="s">
        <v>19</v>
      </c>
      <c r="O8" s="7" t="s">
        <v>20</v>
      </c>
      <c r="P8" s="6" t="str">
        <f>"Hola"&amp;" Juan"</f>
        <v>Hola Juan</v>
      </c>
    </row>
    <row r="9" spans="3:16" x14ac:dyDescent="0.3">
      <c r="C9" s="6" t="s">
        <v>21</v>
      </c>
      <c r="D9" s="6" t="s">
        <v>22</v>
      </c>
      <c r="E9" s="8" t="str">
        <f>"8-78"</f>
        <v>8-78</v>
      </c>
      <c r="F9" s="9">
        <f>8-78</f>
        <v>-70</v>
      </c>
      <c r="G9" s="6"/>
      <c r="H9" s="6" t="s">
        <v>23</v>
      </c>
      <c r="I9" s="6" t="s">
        <v>24</v>
      </c>
      <c r="J9" s="6" t="str">
        <f>"3&gt;2"</f>
        <v>3&gt;2</v>
      </c>
      <c r="K9" s="6" t="b">
        <f>3&gt;2</f>
        <v>1</v>
      </c>
      <c r="L9" s="6"/>
      <c r="M9" s="6"/>
      <c r="N9" s="6"/>
      <c r="O9" s="6"/>
      <c r="P9" s="6"/>
    </row>
    <row r="10" spans="3:16" x14ac:dyDescent="0.3">
      <c r="C10" s="6" t="s">
        <v>21</v>
      </c>
      <c r="D10" s="6" t="s">
        <v>25</v>
      </c>
      <c r="E10" s="6" t="str">
        <f>"-5"</f>
        <v>-5</v>
      </c>
      <c r="F10" s="9">
        <f>-5</f>
        <v>-5</v>
      </c>
      <c r="G10" s="6"/>
      <c r="H10" s="6" t="s">
        <v>26</v>
      </c>
      <c r="I10" s="6" t="s">
        <v>27</v>
      </c>
      <c r="J10" s="6" t="str">
        <f>"23&lt;15"</f>
        <v>23&lt;15</v>
      </c>
      <c r="K10" s="6" t="b">
        <f>23&lt;15</f>
        <v>0</v>
      </c>
      <c r="L10" s="6"/>
      <c r="M10" s="6"/>
      <c r="N10" s="6"/>
      <c r="O10" s="6"/>
      <c r="P10" s="6"/>
    </row>
    <row r="11" spans="3:16" x14ac:dyDescent="0.3">
      <c r="C11" s="6" t="s">
        <v>28</v>
      </c>
      <c r="D11" s="6" t="s">
        <v>29</v>
      </c>
      <c r="E11" s="6" t="str">
        <f>"7*9"</f>
        <v>7*9</v>
      </c>
      <c r="F11" s="9">
        <f>7*9</f>
        <v>63</v>
      </c>
      <c r="G11" s="6"/>
      <c r="H11" s="6" t="s">
        <v>30</v>
      </c>
      <c r="I11" s="6" t="s">
        <v>31</v>
      </c>
      <c r="J11" s="6" t="str">
        <f>"10&gt;=10"</f>
        <v>10&gt;=10</v>
      </c>
      <c r="K11" s="6" t="b">
        <f>10&gt;=10</f>
        <v>1</v>
      </c>
      <c r="L11" s="6"/>
      <c r="M11" s="6"/>
      <c r="N11" s="6"/>
      <c r="O11" s="6"/>
      <c r="P11" s="6"/>
    </row>
    <row r="12" spans="3:16" x14ac:dyDescent="0.3">
      <c r="C12" s="6" t="s">
        <v>32</v>
      </c>
      <c r="D12" s="6" t="s">
        <v>33</v>
      </c>
      <c r="E12" s="6" t="str">
        <f>"81/10"</f>
        <v>81/10</v>
      </c>
      <c r="F12" s="9">
        <f>81/10</f>
        <v>8.1</v>
      </c>
      <c r="G12" s="6"/>
      <c r="H12" s="6" t="s">
        <v>34</v>
      </c>
      <c r="I12" s="6" t="s">
        <v>35</v>
      </c>
      <c r="J12" s="6" t="str">
        <f>"2&lt;=3"</f>
        <v>2&lt;=3</v>
      </c>
      <c r="K12" s="6" t="b">
        <f>2&lt;=3</f>
        <v>1</v>
      </c>
      <c r="L12" s="6"/>
      <c r="M12" s="6"/>
      <c r="N12" s="6"/>
      <c r="O12" s="6"/>
      <c r="P12" s="6"/>
    </row>
    <row r="13" spans="3:16" x14ac:dyDescent="0.3">
      <c r="C13" s="6" t="s">
        <v>36</v>
      </c>
      <c r="D13" s="6" t="s">
        <v>37</v>
      </c>
      <c r="E13" s="6" t="str">
        <f>"10%"</f>
        <v>10%</v>
      </c>
      <c r="F13" s="9">
        <f>10%</f>
        <v>0.1</v>
      </c>
      <c r="G13" s="6"/>
      <c r="H13" s="6" t="s">
        <v>38</v>
      </c>
      <c r="I13" s="6" t="s">
        <v>39</v>
      </c>
      <c r="J13" s="7" t="s">
        <v>40</v>
      </c>
      <c r="K13" s="6" t="b">
        <f>"a"&lt;&gt;"b"</f>
        <v>1</v>
      </c>
      <c r="L13" s="6"/>
      <c r="M13" s="6"/>
      <c r="N13" s="6"/>
      <c r="O13" s="6"/>
      <c r="P13" s="6"/>
    </row>
    <row r="14" spans="3:16" x14ac:dyDescent="0.3">
      <c r="C14" s="6" t="s">
        <v>41</v>
      </c>
      <c r="D14" s="6" t="s">
        <v>42</v>
      </c>
      <c r="E14" s="6" t="str">
        <f>"10^5"</f>
        <v>10^5</v>
      </c>
      <c r="F14" s="9">
        <f>10^5</f>
        <v>100000</v>
      </c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4">
    <mergeCell ref="C3:H4"/>
    <mergeCell ref="C6:F6"/>
    <mergeCell ref="H6:K6"/>
    <mergeCell ref="M6:P6"/>
  </mergeCells>
  <pageMargins left="0.7" right="0.7" top="0.75" bottom="0.75" header="0.3" footer="0.3"/>
  <ignoredErrors>
    <ignoredError sqref="E9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3838-7717-4BA8-A175-68E3816EBAFE}">
  <sheetPr>
    <tabColor theme="5" tint="0.39997558519241921"/>
  </sheetPr>
  <dimension ref="C3:O40"/>
  <sheetViews>
    <sheetView tabSelected="1" topLeftCell="B1" workbookViewId="0">
      <selection activeCell="T5" sqref="R5:T20"/>
    </sheetView>
  </sheetViews>
  <sheetFormatPr defaultRowHeight="14.4" x14ac:dyDescent="0.3"/>
  <cols>
    <col min="3" max="3" width="10.5546875" bestFit="1" customWidth="1"/>
    <col min="5" max="5" width="11.6640625" customWidth="1"/>
    <col min="6" max="6" width="11.5546875" customWidth="1"/>
    <col min="7" max="7" width="12" customWidth="1"/>
    <col min="8" max="8" width="10.21875" customWidth="1"/>
    <col min="9" max="9" width="10.5546875" bestFit="1" customWidth="1"/>
    <col min="10" max="10" width="10" customWidth="1"/>
    <col min="11" max="11" width="8.33203125" customWidth="1"/>
    <col min="12" max="12" width="14.5546875" customWidth="1"/>
    <col min="13" max="13" width="12.88671875" customWidth="1"/>
    <col min="14" max="14" width="13.44140625" customWidth="1"/>
    <col min="15" max="15" width="11.5546875" customWidth="1"/>
    <col min="20" max="23" width="8.88671875" customWidth="1"/>
  </cols>
  <sheetData>
    <row r="3" spans="3:15" x14ac:dyDescent="0.3">
      <c r="C3" s="19" t="s">
        <v>44</v>
      </c>
      <c r="D3" s="19"/>
      <c r="E3" s="19"/>
      <c r="F3" s="19"/>
      <c r="G3" s="19"/>
      <c r="H3" s="19"/>
      <c r="J3" s="22" t="s">
        <v>67</v>
      </c>
      <c r="K3" s="22"/>
      <c r="L3" s="22"/>
      <c r="M3" s="22"/>
      <c r="N3" s="22"/>
      <c r="O3" s="22"/>
    </row>
    <row r="4" spans="3:15" x14ac:dyDescent="0.3">
      <c r="C4" s="19"/>
      <c r="D4" s="19"/>
      <c r="E4" s="19"/>
      <c r="F4" s="19"/>
      <c r="G4" s="19"/>
      <c r="H4" s="19"/>
    </row>
    <row r="5" spans="3:15" x14ac:dyDescent="0.3">
      <c r="J5" s="15" t="s">
        <v>94</v>
      </c>
      <c r="K5" s="16"/>
      <c r="L5" s="16" t="s">
        <v>93</v>
      </c>
      <c r="M5" s="16"/>
      <c r="N5" s="16"/>
      <c r="O5" s="16"/>
    </row>
    <row r="6" spans="3:15" x14ac:dyDescent="0.3">
      <c r="C6" s="22" t="s">
        <v>45</v>
      </c>
      <c r="D6" s="22"/>
      <c r="E6" s="22"/>
      <c r="F6" s="22"/>
      <c r="G6" s="22"/>
      <c r="H6" s="22"/>
      <c r="J6" s="17"/>
      <c r="K6" s="12"/>
      <c r="L6" s="12"/>
      <c r="M6" s="12"/>
      <c r="N6" s="12"/>
      <c r="O6" s="12"/>
    </row>
    <row r="7" spans="3:15" x14ac:dyDescent="0.3">
      <c r="J7" s="15" t="s">
        <v>92</v>
      </c>
      <c r="K7" s="16"/>
      <c r="L7" s="21" t="s">
        <v>96</v>
      </c>
      <c r="M7" s="21"/>
      <c r="N7" s="21"/>
      <c r="O7" s="21"/>
    </row>
    <row r="8" spans="3:15" x14ac:dyDescent="0.3">
      <c r="C8" s="10" t="s">
        <v>46</v>
      </c>
      <c r="D8" s="11"/>
      <c r="E8" s="11" t="s">
        <v>52</v>
      </c>
      <c r="F8" s="11"/>
      <c r="G8" s="11"/>
      <c r="H8" s="11"/>
      <c r="J8" s="16"/>
      <c r="K8" s="16"/>
      <c r="L8" s="21"/>
      <c r="M8" s="21"/>
      <c r="N8" s="21"/>
      <c r="O8" s="21"/>
    </row>
    <row r="9" spans="3:15" x14ac:dyDescent="0.3">
      <c r="C9" s="3"/>
      <c r="J9" s="12"/>
      <c r="K9" s="12"/>
      <c r="L9" s="12"/>
      <c r="M9" s="12"/>
      <c r="N9" s="12"/>
      <c r="O9" s="12"/>
    </row>
    <row r="10" spans="3:15" ht="14.4" customHeight="1" x14ac:dyDescent="0.3">
      <c r="C10" s="10" t="s">
        <v>47</v>
      </c>
      <c r="D10" s="11"/>
      <c r="E10" s="11" t="s">
        <v>53</v>
      </c>
      <c r="F10" s="11"/>
      <c r="G10" s="11"/>
      <c r="H10" s="11"/>
      <c r="J10" s="15" t="s">
        <v>95</v>
      </c>
      <c r="K10" s="16"/>
      <c r="L10" s="21" t="s">
        <v>97</v>
      </c>
      <c r="M10" s="21"/>
      <c r="N10" s="21"/>
      <c r="O10" s="21"/>
    </row>
    <row r="11" spans="3:15" x14ac:dyDescent="0.3">
      <c r="C11" s="3"/>
      <c r="J11" s="16"/>
      <c r="K11" s="16"/>
      <c r="L11" s="21"/>
      <c r="M11" s="21"/>
      <c r="N11" s="21"/>
      <c r="O11" s="21"/>
    </row>
    <row r="12" spans="3:15" x14ac:dyDescent="0.3">
      <c r="C12" s="10" t="s">
        <v>48</v>
      </c>
      <c r="D12" s="11"/>
      <c r="E12" s="11" t="s">
        <v>54</v>
      </c>
      <c r="F12" s="11"/>
      <c r="G12" s="11"/>
      <c r="H12" s="11"/>
      <c r="J12" s="12"/>
      <c r="K12" s="12"/>
      <c r="L12" s="12"/>
      <c r="M12" s="12"/>
      <c r="N12" s="12"/>
      <c r="O12" s="12"/>
    </row>
    <row r="13" spans="3:15" x14ac:dyDescent="0.3">
      <c r="C13" s="3"/>
      <c r="J13" s="22" t="s">
        <v>68</v>
      </c>
      <c r="K13" s="22"/>
      <c r="L13" s="22"/>
      <c r="M13" s="22"/>
      <c r="N13" s="22"/>
      <c r="O13" s="22"/>
    </row>
    <row r="14" spans="3:15" x14ac:dyDescent="0.3">
      <c r="C14" s="10" t="s">
        <v>49</v>
      </c>
      <c r="D14" s="11"/>
      <c r="E14" s="11" t="s">
        <v>55</v>
      </c>
      <c r="F14" s="11"/>
      <c r="G14" s="11"/>
      <c r="H14" s="11"/>
      <c r="J14" s="12"/>
      <c r="K14" s="12"/>
      <c r="L14" s="12"/>
      <c r="M14" s="12"/>
      <c r="N14" s="12"/>
      <c r="O14" s="12"/>
    </row>
    <row r="15" spans="3:15" x14ac:dyDescent="0.3">
      <c r="C15" s="3"/>
      <c r="J15" s="15" t="s">
        <v>70</v>
      </c>
      <c r="K15" s="16"/>
      <c r="L15" s="16" t="s">
        <v>75</v>
      </c>
      <c r="M15" s="16"/>
      <c r="N15" s="16"/>
      <c r="O15" s="16"/>
    </row>
    <row r="16" spans="3:15" x14ac:dyDescent="0.3">
      <c r="C16" s="10" t="s">
        <v>50</v>
      </c>
      <c r="D16" s="11"/>
      <c r="E16" s="11" t="s">
        <v>56</v>
      </c>
      <c r="F16" s="11"/>
      <c r="G16" s="11"/>
      <c r="H16" s="11"/>
      <c r="J16" s="17"/>
      <c r="K16" s="12"/>
      <c r="L16" s="12"/>
      <c r="M16" s="12"/>
      <c r="N16" s="12"/>
      <c r="O16" s="12"/>
    </row>
    <row r="17" spans="3:15" x14ac:dyDescent="0.3">
      <c r="C17" s="3"/>
      <c r="J17" s="15" t="s">
        <v>71</v>
      </c>
      <c r="K17" s="16"/>
      <c r="L17" s="16" t="s">
        <v>76</v>
      </c>
      <c r="M17" s="16"/>
      <c r="N17" s="16"/>
      <c r="O17" s="16"/>
    </row>
    <row r="18" spans="3:15" x14ac:dyDescent="0.3">
      <c r="C18" s="10" t="s">
        <v>51</v>
      </c>
      <c r="D18" s="11"/>
      <c r="E18" s="11" t="s">
        <v>57</v>
      </c>
      <c r="F18" s="11"/>
      <c r="G18" s="11"/>
      <c r="H18" s="11"/>
      <c r="J18" s="17"/>
      <c r="K18" s="12"/>
      <c r="L18" s="12"/>
      <c r="M18" s="12"/>
      <c r="N18" s="12"/>
      <c r="O18" s="12"/>
    </row>
    <row r="19" spans="3:15" x14ac:dyDescent="0.3">
      <c r="J19" s="15" t="s">
        <v>72</v>
      </c>
      <c r="K19" s="16"/>
      <c r="L19" s="21" t="s">
        <v>77</v>
      </c>
      <c r="M19" s="21"/>
      <c r="N19" s="21"/>
      <c r="O19" s="21"/>
    </row>
    <row r="20" spans="3:15" x14ac:dyDescent="0.3">
      <c r="C20" s="22" t="s">
        <v>58</v>
      </c>
      <c r="D20" s="22"/>
      <c r="E20" s="22"/>
      <c r="F20" s="22"/>
      <c r="G20" s="22"/>
      <c r="H20" s="22"/>
      <c r="J20" s="16"/>
      <c r="K20" s="16"/>
      <c r="L20" s="21"/>
      <c r="M20" s="21"/>
      <c r="N20" s="21"/>
      <c r="O20" s="21"/>
    </row>
    <row r="21" spans="3:15" x14ac:dyDescent="0.3">
      <c r="J21" s="12"/>
      <c r="K21" s="12"/>
      <c r="L21" s="12"/>
      <c r="M21" s="12"/>
      <c r="N21" s="12"/>
      <c r="O21" s="12"/>
    </row>
    <row r="22" spans="3:15" x14ac:dyDescent="0.3">
      <c r="C22" s="10" t="s">
        <v>59</v>
      </c>
      <c r="D22" s="11"/>
      <c r="E22" s="21" t="s">
        <v>63</v>
      </c>
      <c r="F22" s="21"/>
      <c r="G22" s="21"/>
      <c r="H22" s="21"/>
      <c r="J22" s="15" t="s">
        <v>73</v>
      </c>
      <c r="K22" s="16"/>
      <c r="L22" s="16" t="s">
        <v>78</v>
      </c>
      <c r="M22" s="16"/>
      <c r="N22" s="16"/>
      <c r="O22" s="16"/>
    </row>
    <row r="23" spans="3:15" x14ac:dyDescent="0.3">
      <c r="C23" s="10"/>
      <c r="D23" s="11"/>
      <c r="E23" s="21"/>
      <c r="F23" s="21"/>
      <c r="G23" s="21"/>
      <c r="H23" s="21"/>
      <c r="J23" s="17"/>
      <c r="K23" s="12"/>
      <c r="L23" s="12"/>
      <c r="M23" s="12"/>
      <c r="N23" s="12"/>
      <c r="O23" s="12"/>
    </row>
    <row r="24" spans="3:15" x14ac:dyDescent="0.3">
      <c r="E24" s="12"/>
      <c r="F24" s="12"/>
      <c r="G24" s="12"/>
      <c r="H24" s="12"/>
      <c r="J24" s="15" t="s">
        <v>74</v>
      </c>
      <c r="K24" s="16"/>
      <c r="L24" s="16" t="s">
        <v>79</v>
      </c>
      <c r="M24" s="16"/>
      <c r="N24" s="16"/>
      <c r="O24" s="16"/>
    </row>
    <row r="25" spans="3:15" x14ac:dyDescent="0.3">
      <c r="C25" s="10" t="s">
        <v>60</v>
      </c>
      <c r="D25" s="11"/>
      <c r="E25" s="21" t="s">
        <v>64</v>
      </c>
      <c r="F25" s="21"/>
      <c r="G25" s="21"/>
      <c r="H25" s="21"/>
    </row>
    <row r="26" spans="3:15" x14ac:dyDescent="0.3">
      <c r="C26" s="10"/>
      <c r="D26" s="11"/>
      <c r="E26" s="21"/>
      <c r="F26" s="21"/>
      <c r="G26" s="21"/>
      <c r="H26" s="21"/>
      <c r="J26" s="22" t="s">
        <v>69</v>
      </c>
      <c r="K26" s="22"/>
      <c r="L26" s="22"/>
      <c r="M26" s="22"/>
      <c r="N26" s="22"/>
      <c r="O26" s="22"/>
    </row>
    <row r="27" spans="3:15" x14ac:dyDescent="0.3">
      <c r="E27" s="12"/>
      <c r="F27" s="12"/>
      <c r="G27" s="12"/>
      <c r="H27" s="12"/>
    </row>
    <row r="28" spans="3:15" x14ac:dyDescent="0.3">
      <c r="C28" s="10" t="s">
        <v>61</v>
      </c>
      <c r="D28" s="11"/>
      <c r="E28" s="21" t="s">
        <v>65</v>
      </c>
      <c r="F28" s="21"/>
      <c r="G28" s="21"/>
      <c r="H28" s="21"/>
      <c r="J28" s="10" t="s">
        <v>81</v>
      </c>
      <c r="K28" s="11"/>
      <c r="L28" s="11" t="s">
        <v>85</v>
      </c>
      <c r="M28" s="11"/>
      <c r="N28" s="11"/>
      <c r="O28" s="11"/>
    </row>
    <row r="29" spans="3:15" x14ac:dyDescent="0.3">
      <c r="C29" s="10"/>
      <c r="D29" s="11"/>
      <c r="E29" s="21"/>
      <c r="F29" s="21"/>
      <c r="G29" s="21"/>
      <c r="H29" s="21"/>
      <c r="J29" s="3"/>
    </row>
    <row r="30" spans="3:15" x14ac:dyDescent="0.3">
      <c r="E30" s="12"/>
      <c r="F30" s="12"/>
      <c r="G30" s="12"/>
      <c r="H30" s="12"/>
      <c r="J30" s="10" t="s">
        <v>80</v>
      </c>
      <c r="K30" s="11"/>
      <c r="L30" s="11" t="s">
        <v>86</v>
      </c>
      <c r="M30" s="11"/>
      <c r="N30" s="11"/>
      <c r="O30" s="11"/>
    </row>
    <row r="31" spans="3:15" x14ac:dyDescent="0.3">
      <c r="C31" s="10" t="s">
        <v>62</v>
      </c>
      <c r="D31" s="11"/>
      <c r="E31" s="21" t="s">
        <v>66</v>
      </c>
      <c r="F31" s="21"/>
      <c r="G31" s="21"/>
      <c r="H31" s="21"/>
      <c r="J31" s="3"/>
    </row>
    <row r="32" spans="3:15" x14ac:dyDescent="0.3">
      <c r="C32" s="10"/>
      <c r="D32" s="11"/>
      <c r="E32" s="21"/>
      <c r="F32" s="21"/>
      <c r="G32" s="21"/>
      <c r="H32" s="21"/>
      <c r="J32" s="10" t="s">
        <v>88</v>
      </c>
      <c r="K32" s="11"/>
      <c r="L32" s="11" t="s">
        <v>87</v>
      </c>
      <c r="M32" s="11"/>
      <c r="N32" s="11"/>
      <c r="O32" s="11"/>
    </row>
    <row r="33" spans="3:15" x14ac:dyDescent="0.3">
      <c r="J33" s="3"/>
    </row>
    <row r="34" spans="3:15" x14ac:dyDescent="0.3">
      <c r="J34" s="10" t="s">
        <v>82</v>
      </c>
      <c r="K34" s="11"/>
      <c r="L34" s="11" t="s">
        <v>89</v>
      </c>
      <c r="M34" s="11"/>
      <c r="N34" s="11"/>
      <c r="O34" s="11"/>
    </row>
    <row r="35" spans="3:15" x14ac:dyDescent="0.3">
      <c r="C35" s="14"/>
      <c r="J35" s="3"/>
    </row>
    <row r="36" spans="3:15" x14ac:dyDescent="0.3">
      <c r="J36" s="10" t="s">
        <v>83</v>
      </c>
      <c r="K36" s="11"/>
      <c r="L36" s="11" t="s">
        <v>91</v>
      </c>
      <c r="M36" s="11"/>
      <c r="N36" s="11"/>
      <c r="O36" s="11"/>
    </row>
    <row r="37" spans="3:15" x14ac:dyDescent="0.3">
      <c r="J37" s="3"/>
    </row>
    <row r="38" spans="3:15" x14ac:dyDescent="0.3">
      <c r="J38" s="10" t="s">
        <v>84</v>
      </c>
      <c r="K38" s="11"/>
      <c r="L38" s="11" t="s">
        <v>90</v>
      </c>
      <c r="M38" s="11"/>
      <c r="N38" s="11"/>
      <c r="O38" s="11"/>
    </row>
    <row r="40" spans="3:15" x14ac:dyDescent="0.3">
      <c r="I40" s="14"/>
    </row>
  </sheetData>
  <mergeCells count="13">
    <mergeCell ref="J3:O3"/>
    <mergeCell ref="J13:O13"/>
    <mergeCell ref="J26:O26"/>
    <mergeCell ref="L19:O20"/>
    <mergeCell ref="L10:O11"/>
    <mergeCell ref="L7:O8"/>
    <mergeCell ref="E28:H29"/>
    <mergeCell ref="E31:H32"/>
    <mergeCell ref="C3:H4"/>
    <mergeCell ref="C6:H6"/>
    <mergeCell ref="C20:H20"/>
    <mergeCell ref="E22:H23"/>
    <mergeCell ref="E25:H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Introducción</vt:lpstr>
      <vt:lpstr>Operadores</vt:lpstr>
      <vt:lpstr>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2026-07-06T19:38:38Z</dcterms:modified>
</cp:coreProperties>
</file>