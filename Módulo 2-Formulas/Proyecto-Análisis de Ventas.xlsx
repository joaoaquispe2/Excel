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2\"/>
    </mc:Choice>
  </mc:AlternateContent>
  <xr:revisionPtr revIDLastSave="0" documentId="13_ncr:1_{9F0F532F-EDE4-48CE-9998-A0DBB025B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N6" i="1"/>
  <c r="N47" i="1"/>
  <c r="N42" i="1"/>
  <c r="N14" i="1"/>
  <c r="N31" i="1"/>
  <c r="N21" i="1"/>
  <c r="N51" i="1"/>
  <c r="N54" i="1"/>
  <c r="N10" i="1"/>
  <c r="N5" i="1"/>
  <c r="N20" i="1"/>
  <c r="N36" i="1"/>
  <c r="N29" i="1"/>
  <c r="N26" i="1"/>
  <c r="N41" i="1"/>
  <c r="N12" i="1"/>
  <c r="N49" i="1"/>
  <c r="N44" i="1"/>
  <c r="N24" i="1"/>
  <c r="N16" i="1"/>
  <c r="N37" i="1"/>
  <c r="N53" i="1"/>
  <c r="N52" i="1"/>
  <c r="N18" i="1"/>
  <c r="N8" i="1"/>
  <c r="N28" i="1"/>
  <c r="N39" i="1"/>
  <c r="N34" i="1"/>
  <c r="N32" i="1"/>
  <c r="N38" i="1"/>
  <c r="N7" i="1"/>
  <c r="N45" i="1"/>
  <c r="N40" i="1"/>
  <c r="N15" i="1"/>
  <c r="N23" i="1"/>
  <c r="N22" i="1"/>
  <c r="N48" i="1"/>
  <c r="N50" i="1"/>
  <c r="N11" i="1"/>
  <c r="N9" i="1"/>
  <c r="N17" i="1"/>
  <c r="N33" i="1"/>
  <c r="N30" i="1"/>
  <c r="N27" i="1"/>
  <c r="N35" i="1"/>
  <c r="N13" i="1"/>
  <c r="N46" i="1"/>
  <c r="N43" i="1"/>
  <c r="N25" i="1"/>
  <c r="N19" i="1"/>
  <c r="M6" i="1"/>
  <c r="M47" i="1"/>
  <c r="M42" i="1"/>
  <c r="M14" i="1"/>
  <c r="M31" i="1"/>
  <c r="M21" i="1"/>
  <c r="M51" i="1"/>
  <c r="M54" i="1"/>
  <c r="M10" i="1"/>
  <c r="M5" i="1"/>
  <c r="M20" i="1"/>
  <c r="M36" i="1"/>
  <c r="M29" i="1"/>
  <c r="M26" i="1"/>
  <c r="M41" i="1"/>
  <c r="M12" i="1"/>
  <c r="M49" i="1"/>
  <c r="M44" i="1"/>
  <c r="M24" i="1"/>
  <c r="M16" i="1"/>
  <c r="M37" i="1"/>
  <c r="M53" i="1"/>
  <c r="M52" i="1"/>
  <c r="M18" i="1"/>
  <c r="M8" i="1"/>
  <c r="M28" i="1"/>
  <c r="M39" i="1"/>
  <c r="M34" i="1"/>
  <c r="M32" i="1"/>
  <c r="M38" i="1"/>
  <c r="M7" i="1"/>
  <c r="M45" i="1"/>
  <c r="M40" i="1"/>
  <c r="M15" i="1"/>
  <c r="M23" i="1"/>
  <c r="M22" i="1"/>
  <c r="M48" i="1"/>
  <c r="M50" i="1"/>
  <c r="M11" i="1"/>
  <c r="M9" i="1"/>
  <c r="M17" i="1"/>
  <c r="M33" i="1"/>
  <c r="M30" i="1"/>
  <c r="M27" i="1"/>
  <c r="M35" i="1"/>
  <c r="M13" i="1"/>
  <c r="M46" i="1"/>
  <c r="M43" i="1"/>
  <c r="M25" i="1"/>
  <c r="M19" i="1"/>
  <c r="J60" i="1"/>
  <c r="J59" i="1"/>
  <c r="J58" i="1"/>
  <c r="J19" i="1"/>
  <c r="J47" i="1"/>
  <c r="L47" i="1" s="1"/>
  <c r="J42" i="1"/>
  <c r="J14" i="1"/>
  <c r="L14" i="1" s="1"/>
  <c r="J31" i="1"/>
  <c r="J21" i="1"/>
  <c r="J51" i="1"/>
  <c r="J54" i="1"/>
  <c r="J10" i="1"/>
  <c r="J5" i="1"/>
  <c r="L5" i="1" s="1"/>
  <c r="J20" i="1"/>
  <c r="J36" i="1"/>
  <c r="L36" i="1" s="1"/>
  <c r="J29" i="1"/>
  <c r="J26" i="1"/>
  <c r="J41" i="1"/>
  <c r="J12" i="1"/>
  <c r="L12" i="1" s="1"/>
  <c r="J49" i="1"/>
  <c r="J44" i="1"/>
  <c r="L44" i="1" s="1"/>
  <c r="J24" i="1"/>
  <c r="J16" i="1"/>
  <c r="L16" i="1" s="1"/>
  <c r="J37" i="1"/>
  <c r="J53" i="1"/>
  <c r="J52" i="1"/>
  <c r="J18" i="1"/>
  <c r="L18" i="1" s="1"/>
  <c r="J8" i="1"/>
  <c r="J28" i="1"/>
  <c r="L28" i="1" s="1"/>
  <c r="J39" i="1"/>
  <c r="J34" i="1"/>
  <c r="L34" i="1" s="1"/>
  <c r="J32" i="1"/>
  <c r="J38" i="1"/>
  <c r="J7" i="1"/>
  <c r="J45" i="1"/>
  <c r="J40" i="1"/>
  <c r="J15" i="1"/>
  <c r="L15" i="1" s="1"/>
  <c r="J23" i="1"/>
  <c r="J22" i="1"/>
  <c r="L22" i="1" s="1"/>
  <c r="J48" i="1"/>
  <c r="J50" i="1"/>
  <c r="J11" i="1"/>
  <c r="J9" i="1"/>
  <c r="J17" i="1"/>
  <c r="J33" i="1"/>
  <c r="L33" i="1" s="1"/>
  <c r="J30" i="1"/>
  <c r="J27" i="1"/>
  <c r="L27" i="1" s="1"/>
  <c r="J35" i="1"/>
  <c r="J13" i="1"/>
  <c r="J46" i="1"/>
  <c r="J43" i="1"/>
  <c r="L43" i="1" s="1"/>
  <c r="J25" i="1"/>
  <c r="J6" i="1"/>
  <c r="L6" i="1" s="1"/>
  <c r="L54" i="1" l="1"/>
  <c r="L9" i="1"/>
  <c r="L45" i="1"/>
  <c r="L46" i="1"/>
  <c r="L30" i="1"/>
  <c r="L11" i="1"/>
  <c r="L23" i="1"/>
  <c r="L7" i="1"/>
  <c r="L39" i="1"/>
  <c r="L52" i="1"/>
  <c r="L24" i="1"/>
  <c r="L41" i="1"/>
  <c r="L20" i="1"/>
  <c r="L51" i="1"/>
  <c r="L42" i="1"/>
  <c r="L19" i="1"/>
  <c r="L13" i="1"/>
  <c r="L50" i="1"/>
  <c r="L38" i="1"/>
  <c r="L53" i="1"/>
  <c r="L26" i="1"/>
  <c r="L21" i="1"/>
  <c r="L25" i="1"/>
  <c r="L35" i="1"/>
  <c r="L17" i="1"/>
  <c r="L48" i="1"/>
  <c r="L40" i="1"/>
  <c r="L32" i="1"/>
  <c r="L8" i="1"/>
  <c r="L37" i="1"/>
  <c r="L49" i="1"/>
  <c r="L29" i="1"/>
  <c r="L10" i="1"/>
  <c r="L31" i="1"/>
  <c r="J56" i="1"/>
  <c r="J57" i="1"/>
</calcChain>
</file>

<file path=xl/sharedStrings.xml><?xml version="1.0" encoding="utf-8"?>
<sst xmlns="http://schemas.openxmlformats.org/spreadsheetml/2006/main" count="268" uniqueCount="108">
  <si>
    <t>ID</t>
  </si>
  <si>
    <t>Fecha</t>
  </si>
  <si>
    <t>Codigo</t>
  </si>
  <si>
    <t>Producto</t>
  </si>
  <si>
    <t>Categoria</t>
  </si>
  <si>
    <t>Vendedor</t>
  </si>
  <si>
    <t>Cantidad</t>
  </si>
  <si>
    <t>Precio Unitario</t>
  </si>
  <si>
    <t>V001</t>
  </si>
  <si>
    <t>P001</t>
  </si>
  <si>
    <t>Laptop</t>
  </si>
  <si>
    <t>Electrónica</t>
  </si>
  <si>
    <t>Ana</t>
  </si>
  <si>
    <t>V002</t>
  </si>
  <si>
    <t>P002</t>
  </si>
  <si>
    <t>Mouse</t>
  </si>
  <si>
    <t>Carlos</t>
  </si>
  <si>
    <t>V003</t>
  </si>
  <si>
    <t>P003</t>
  </si>
  <si>
    <t>Teclado</t>
  </si>
  <si>
    <t>María</t>
  </si>
  <si>
    <t>V004</t>
  </si>
  <si>
    <t>P004</t>
  </si>
  <si>
    <t>Monitor</t>
  </si>
  <si>
    <t>Luis</t>
  </si>
  <si>
    <t>V005</t>
  </si>
  <si>
    <t>P005</t>
  </si>
  <si>
    <t>Silla</t>
  </si>
  <si>
    <t>Oficina</t>
  </si>
  <si>
    <t>Sofía</t>
  </si>
  <si>
    <t>V006</t>
  </si>
  <si>
    <t>P006</t>
  </si>
  <si>
    <t>Escritorio</t>
  </si>
  <si>
    <t>Pedro</t>
  </si>
  <si>
    <t>V007</t>
  </si>
  <si>
    <t>P007</t>
  </si>
  <si>
    <t>Cuaderno</t>
  </si>
  <si>
    <t>Valeria</t>
  </si>
  <si>
    <t>V008</t>
  </si>
  <si>
    <t>P008</t>
  </si>
  <si>
    <t>Bolígrafo</t>
  </si>
  <si>
    <t>Jorge</t>
  </si>
  <si>
    <t>V009</t>
  </si>
  <si>
    <t>P009</t>
  </si>
  <si>
    <t>Tablet</t>
  </si>
  <si>
    <t>V010</t>
  </si>
  <si>
    <t>P010</t>
  </si>
  <si>
    <t>Smartphone</t>
  </si>
  <si>
    <t>V011</t>
  </si>
  <si>
    <t>P011</t>
  </si>
  <si>
    <t>Audífonos</t>
  </si>
  <si>
    <t>V012</t>
  </si>
  <si>
    <t>P012</t>
  </si>
  <si>
    <t>Webcam</t>
  </si>
  <si>
    <t>V013</t>
  </si>
  <si>
    <t>P013</t>
  </si>
  <si>
    <t>Router</t>
  </si>
  <si>
    <t>V014</t>
  </si>
  <si>
    <t>P014</t>
  </si>
  <si>
    <t>SSD 1TB</t>
  </si>
  <si>
    <t>V015</t>
  </si>
  <si>
    <t>P015</t>
  </si>
  <si>
    <t>Memoria USB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</si>
  <si>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</si>
  <si>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</si>
  <si>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</si>
  <si>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</si>
  <si>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</si>
  <si>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</si>
  <si>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</si>
  <si>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</si>
  <si>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</si>
  <si>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</si>
  <si>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</si>
  <si>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</si>
  <si>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</si>
  <si>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</si>
  <si>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</si>
  <si>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</si>
  <si>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</si>
  <si>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</si>
  <si>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</si>
  <si>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</si>
  <si>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</si>
  <si>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</si>
  <si>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</si>
  <si>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</si>
  <si>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</si>
  <si>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</si>
  <si>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</si>
  <si>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</si>
  <si>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</si>
  <si>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</si>
  <si>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</si>
  <si>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</si>
  <si>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</si>
  <si>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</si>
  <si>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</si>
  <si>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Venta Total</t>
  </si>
  <si>
    <t>Total</t>
  </si>
  <si>
    <t>Promedio</t>
  </si>
  <si>
    <t>Producto más Barato</t>
  </si>
  <si>
    <t>Producto más Caro</t>
  </si>
  <si>
    <t>Cantidad de Ventas</t>
  </si>
  <si>
    <t>Venta Grande</t>
  </si>
  <si>
    <t>Resumen</t>
  </si>
  <si>
    <t>IDNúmero</t>
  </si>
  <si>
    <t>Fecha Formato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</si>
</sst>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0" applyNumberFormat="1" applyFont="1" applyBorder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font>
        <b/>
        <i val="0"/>
      </font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S/-280A]\ * #,##0.00_-;\-[$S/-280A]\ * #,##0.00_-;_-[$S/-280A]\ * &quot;-&quot;??_-;_-@_-"/>
    </dxf>
    <dxf>
      <numFmt numFmtId="19" formatCode="d/m/yyyy"/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9087D-8C8B-4D47-B971-9B7BA325A6E8}" name="Ventas" displayName="Ventas" ref="B4:N54" totalsRowShown="0">
  <autoFilter ref="B4:N54" xr:uid="{6849087D-8C8B-4D47-B971-9B7BA325A6E8}"/>
  <sortState xmlns:xlrd2="http://schemas.microsoft.com/office/spreadsheetml/2017/richdata2" ref="B5:N54">
    <sortCondition descending="1" ref="J4:J54"/>
  </sortState>
  <tableColumns count="13">
    <tableColumn id="1" xr3:uid="{042E8B29-EBD3-4A5D-A21A-B8287836D77B}" name="ID"/>
    <tableColumn id="2" xr3:uid="{BC887D4D-A471-4B2E-9D83-20ECC178178B}" name="Fecha" dataDxfId="7"/>
    <tableColumn id="3" xr3:uid="{018AE854-D57C-48EF-BD53-5A601FD718FE}" name="Codigo"/>
    <tableColumn id="4" xr3:uid="{8BCA671E-EA10-4152-9AC0-CAFF4E8FAD40}" name="Producto"/>
    <tableColumn id="5" xr3:uid="{A5A1381B-DD96-4D05-84C7-4724C5C5819A}" name="Categoria"/>
    <tableColumn id="6" xr3:uid="{20F29C4B-7234-48B6-9303-EB9B7D9B163E}" name="Vendedor"/>
    <tableColumn id="7" xr3:uid="{78439F65-C43F-4C7B-B926-357B693468C4}" name="Cantidad"/>
    <tableColumn id="8" xr3:uid="{6CBF8A7F-D563-43EA-B098-732E3F037615}" name="Precio Unitario" dataDxfId="6"/>
    <tableColumn id="9" xr3:uid="{A10B875F-00E6-42AF-8114-623475B00774}" name="Venta Total" dataDxfId="5">
      <calculatedColumnFormula>Ventas[[#This Row],[Cantidad]]*Ventas[[#This Row],[Precio Unitario]]</calculatedColumnFormula>
    </tableColumn>
    <tableColumn id="10" xr3:uid="{DD2FB606-CEE9-41BB-8396-6D11BF6F0813}" name="Venta Grande" dataDxfId="0">
      <calculatedColumnFormula>IF(Ventas[[#This Row],[Venta Total]]&gt;=2000,"SI","NO")</calculatedColumnFormula>
    </tableColumn>
    <tableColumn id="11" xr3:uid="{C41CAD2D-3214-460E-AF5E-5473ADB46ECE}" name="Resumen" dataDxfId="4">
      <calculatedColumnFormula>_xlfn.TEXTJOIN(" ",TRUE,Ventas[[#This Row],[Producto]],Ventas[[#This Row],[Vendedor]], Ventas[[#This Row],[Venta Total]])</calculatedColumnFormula>
    </tableColumn>
    <tableColumn id="13" xr3:uid="{4B50E178-1918-42D7-9B28-8C85047EAFA2}" name="IDNúmero" dataDxfId="3">
      <calculatedColumnFormula>RIGHT(Ventas[[#This Row],[ID]],3)</calculatedColumnFormula>
    </tableColumn>
    <tableColumn id="12" xr3:uid="{0E3AB5DB-BCB2-429E-8CFE-5F213CB58BD6}" name="Fecha Formato Bruto" dataDxfId="1">
      <calculatedColumnFormula>_xlfn.TEXTJOIN("-", TRUE, DAY(Ventas[[#This Row],[Fecha]]), MONTH(Ventas[[#This Row],[Fecha]]), YEAR(Ventas[[#This Row],[Fecha]]))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60"/>
  <sheetViews>
    <sheetView tabSelected="1" zoomScaleNormal="100" workbookViewId="0">
      <selection activeCell="K20" sqref="K20"/>
    </sheetView>
  </sheetViews>
  <sheetFormatPr defaultRowHeight="14.4" x14ac:dyDescent="0.3"/>
  <cols>
    <col min="3" max="3" width="10.5546875" customWidth="1"/>
    <col min="4" max="4" width="10.6640625" customWidth="1"/>
    <col min="5" max="5" width="13.6640625" customWidth="1"/>
    <col min="6" max="6" width="14.77734375" customWidth="1"/>
    <col min="7" max="7" width="11.77734375" customWidth="1"/>
    <col min="8" max="8" width="12" customWidth="1"/>
    <col min="9" max="9" width="18.6640625" customWidth="1"/>
    <col min="10" max="10" width="13.44140625" customWidth="1"/>
    <col min="11" max="11" width="14.77734375" bestFit="1" customWidth="1"/>
    <col min="12" max="12" width="21.44140625" customWidth="1"/>
    <col min="13" max="13" width="11.88671875" bestFit="1" customWidth="1"/>
    <col min="14" max="14" width="21" bestFit="1" customWidth="1"/>
    <col min="16" max="16" width="12.33203125" customWidth="1"/>
  </cols>
  <sheetData>
    <row r="4" spans="2:14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98</v>
      </c>
      <c r="K4" t="s">
        <v>104</v>
      </c>
      <c r="L4" t="s">
        <v>105</v>
      </c>
      <c r="M4" t="s">
        <v>106</v>
      </c>
      <c r="N4" t="s">
        <v>107</v>
      </c>
    </row>
    <row r="5" spans="2:14" x14ac:dyDescent="0.3">
      <c r="B5" t="s">
        <v>45</v>
      </c>
      <c r="C5" s="1">
        <v>46044</v>
      </c>
      <c r="D5" t="s">
        <v>46</v>
      </c>
      <c r="E5" t="s">
        <v>47</v>
      </c>
      <c r="F5" t="s">
        <v>11</v>
      </c>
      <c r="G5" t="s">
        <v>16</v>
      </c>
      <c r="H5">
        <v>4</v>
      </c>
      <c r="I5" s="2">
        <v>1900</v>
      </c>
      <c r="J5" s="2">
        <f>Ventas[[#This Row],[Cantidad]]*Ventas[[#This Row],[Precio Unitario]]</f>
        <v>7600</v>
      </c>
      <c r="K5" t="str">
        <f>IF(Ventas[[#This Row],[Venta Total]]&gt;=2000,"SI","NO")</f>
        <v>SI</v>
      </c>
      <c r="L5" t="str">
        <f>_xlfn.TEXTJOIN(" ",TRUE,Ventas[[#This Row],[Producto]],Ventas[[#This Row],[Vendedor]], Ventas[[#This Row],[Venta Total]])</f>
        <v>Smartphone Carlos 7600</v>
      </c>
      <c r="M5" s="4" t="str">
        <f>RIGHT(Ventas[[#This Row],[ID]],3)</f>
        <v>010</v>
      </c>
      <c r="N5" s="4" t="str">
        <f>_xlfn.TEXTJOIN("-", TRUE, DAY(Ventas[[#This Row],[Fecha]]), MONTH(Ventas[[#This Row],[Fecha]]), YEAR(Ventas[[#This Row],[Fecha]]))</f>
        <v>22-1-2026</v>
      </c>
    </row>
    <row r="6" spans="2:14" x14ac:dyDescent="0.3">
      <c r="B6" t="s">
        <v>8</v>
      </c>
      <c r="C6" s="1">
        <v>46027</v>
      </c>
      <c r="D6" t="s">
        <v>9</v>
      </c>
      <c r="E6" t="s">
        <v>10</v>
      </c>
      <c r="F6" t="s">
        <v>11</v>
      </c>
      <c r="G6" t="s">
        <v>12</v>
      </c>
      <c r="H6">
        <v>2</v>
      </c>
      <c r="I6" s="2">
        <v>3500</v>
      </c>
      <c r="J6" s="2">
        <f>Ventas[[#This Row],[Cantidad]]*Ventas[[#This Row],[Precio Unitario]]</f>
        <v>7000</v>
      </c>
      <c r="K6" t="str">
        <f>IF(Ventas[[#This Row],[Venta Total]]&gt;=2000,"SI","NO")</f>
        <v>SI</v>
      </c>
      <c r="L6" t="str">
        <f>_xlfn.TEXTJOIN(" ",TRUE,Ventas[[#This Row],[Producto]],Ventas[[#This Row],[Vendedor]], Ventas[[#This Row],[Venta Total]])</f>
        <v>Laptop Ana 7000</v>
      </c>
      <c r="M6" s="4" t="str">
        <f>RIGHT(Ventas[[#This Row],[ID]],3)</f>
        <v>001</v>
      </c>
      <c r="N6" s="4" t="str">
        <f>_xlfn.TEXTJOIN("-", TRUE, DAY(Ventas[[#This Row],[Fecha]]), MONTH(Ventas[[#This Row],[Fecha]]), YEAR(Ventas[[#This Row],[Fecha]]))</f>
        <v>5-1-2026</v>
      </c>
    </row>
    <row r="7" spans="2:14" x14ac:dyDescent="0.3">
      <c r="B7" t="s">
        <v>78</v>
      </c>
      <c r="C7" s="1">
        <v>46093</v>
      </c>
      <c r="D7" t="s">
        <v>9</v>
      </c>
      <c r="E7" t="s">
        <v>10</v>
      </c>
      <c r="F7" t="s">
        <v>11</v>
      </c>
      <c r="G7" t="s">
        <v>37</v>
      </c>
      <c r="H7">
        <v>2</v>
      </c>
      <c r="I7" s="2">
        <v>3500</v>
      </c>
      <c r="J7" s="2">
        <f>Ventas[[#This Row],[Cantidad]]*Ventas[[#This Row],[Precio Unitario]]</f>
        <v>7000</v>
      </c>
      <c r="K7" t="str">
        <f>IF(Ventas[[#This Row],[Venta Total]]&gt;=2000,"SI","NO")</f>
        <v>SI</v>
      </c>
      <c r="L7" t="str">
        <f>_xlfn.TEXTJOIN(" ",TRUE,Ventas[[#This Row],[Producto]],Ventas[[#This Row],[Vendedor]], Ventas[[#This Row],[Venta Total]])</f>
        <v>Laptop Valeria 7000</v>
      </c>
      <c r="M7" s="4" t="str">
        <f>RIGHT(Ventas[[#This Row],[ID]],3)</f>
        <v>031</v>
      </c>
      <c r="N7" s="4" t="str">
        <f>_xlfn.TEXTJOIN("-", TRUE, DAY(Ventas[[#This Row],[Fecha]]), MONTH(Ventas[[#This Row],[Fecha]]), YEAR(Ventas[[#This Row],[Fecha]]))</f>
        <v>12-3-2026</v>
      </c>
    </row>
    <row r="8" spans="2:14" x14ac:dyDescent="0.3">
      <c r="B8" t="s">
        <v>72</v>
      </c>
      <c r="C8" s="1">
        <v>46080</v>
      </c>
      <c r="D8" t="s">
        <v>46</v>
      </c>
      <c r="E8" t="s">
        <v>47</v>
      </c>
      <c r="F8" t="s">
        <v>11</v>
      </c>
      <c r="G8" t="s">
        <v>12</v>
      </c>
      <c r="H8">
        <v>3</v>
      </c>
      <c r="I8" s="2">
        <v>1900</v>
      </c>
      <c r="J8" s="2">
        <f>Ventas[[#This Row],[Cantidad]]*Ventas[[#This Row],[Precio Unitario]]</f>
        <v>5700</v>
      </c>
      <c r="K8" t="str">
        <f>IF(Ventas[[#This Row],[Venta Total]]&gt;=2000,"SI","NO")</f>
        <v>SI</v>
      </c>
      <c r="L8" t="str">
        <f>_xlfn.TEXTJOIN(" ",TRUE,Ventas[[#This Row],[Producto]],Ventas[[#This Row],[Vendedor]], Ventas[[#This Row],[Venta Total]])</f>
        <v>Smartphone Ana 5700</v>
      </c>
      <c r="M8" s="4" t="str">
        <f>RIGHT(Ventas[[#This Row],[ID]],3)</f>
        <v>025</v>
      </c>
      <c r="N8" s="4" t="str">
        <f>_xlfn.TEXTJOIN("-", TRUE, DAY(Ventas[[#This Row],[Fecha]]), MONTH(Ventas[[#This Row],[Fecha]]), YEAR(Ventas[[#This Row],[Fecha]]))</f>
        <v>27-2-2026</v>
      </c>
    </row>
    <row r="9" spans="2:14" x14ac:dyDescent="0.3">
      <c r="B9" t="s">
        <v>87</v>
      </c>
      <c r="C9" s="1">
        <v>46115</v>
      </c>
      <c r="D9" t="s">
        <v>46</v>
      </c>
      <c r="E9" t="s">
        <v>47</v>
      </c>
      <c r="F9" t="s">
        <v>11</v>
      </c>
      <c r="G9" t="s">
        <v>41</v>
      </c>
      <c r="H9">
        <v>2</v>
      </c>
      <c r="I9" s="2">
        <v>1900</v>
      </c>
      <c r="J9" s="2">
        <f>Ventas[[#This Row],[Cantidad]]*Ventas[[#This Row],[Precio Unitario]]</f>
        <v>3800</v>
      </c>
      <c r="K9" t="str">
        <f>IF(Ventas[[#This Row],[Venta Total]]&gt;=2000,"SI","NO")</f>
        <v>SI</v>
      </c>
      <c r="L9" t="str">
        <f>_xlfn.TEXTJOIN(" ",TRUE,Ventas[[#This Row],[Producto]],Ventas[[#This Row],[Vendedor]], Ventas[[#This Row],[Venta Total]])</f>
        <v>Smartphone Jorge 3800</v>
      </c>
      <c r="M9" s="4" t="str">
        <f>RIGHT(Ventas[[#This Row],[ID]],3)</f>
        <v>040</v>
      </c>
      <c r="N9" s="4" t="str">
        <f>_xlfn.TEXTJOIN("-", TRUE, DAY(Ventas[[#This Row],[Fecha]]), MONTH(Ventas[[#This Row],[Fecha]]), YEAR(Ventas[[#This Row],[Fecha]]))</f>
        <v>3-4-2026</v>
      </c>
    </row>
    <row r="10" spans="2:14" x14ac:dyDescent="0.3">
      <c r="B10" t="s">
        <v>42</v>
      </c>
      <c r="C10" s="1">
        <v>46042</v>
      </c>
      <c r="D10" t="s">
        <v>43</v>
      </c>
      <c r="E10" t="s">
        <v>44</v>
      </c>
      <c r="F10" t="s">
        <v>11</v>
      </c>
      <c r="G10" t="s">
        <v>12</v>
      </c>
      <c r="H10">
        <v>3</v>
      </c>
      <c r="I10" s="2">
        <v>1250</v>
      </c>
      <c r="J10" s="2">
        <f>Ventas[[#This Row],[Cantidad]]*Ventas[[#This Row],[Precio Unitario]]</f>
        <v>3750</v>
      </c>
      <c r="K10" t="str">
        <f>IF(Ventas[[#This Row],[Venta Total]]&gt;=2000,"SI","NO")</f>
        <v>SI</v>
      </c>
      <c r="L10" t="str">
        <f>_xlfn.TEXTJOIN(" ",TRUE,Ventas[[#This Row],[Producto]],Ventas[[#This Row],[Vendedor]], Ventas[[#This Row],[Venta Total]])</f>
        <v>Tablet Ana 3750</v>
      </c>
      <c r="M10" s="4" t="str">
        <f>RIGHT(Ventas[[#This Row],[ID]],3)</f>
        <v>009</v>
      </c>
      <c r="N10" s="4" t="str">
        <f>_xlfn.TEXTJOIN("-", TRUE, DAY(Ventas[[#This Row],[Fecha]]), MONTH(Ventas[[#This Row],[Fecha]]), YEAR(Ventas[[#This Row],[Fecha]]))</f>
        <v>20-1-2026</v>
      </c>
    </row>
    <row r="11" spans="2:14" x14ac:dyDescent="0.3">
      <c r="B11" t="s">
        <v>86</v>
      </c>
      <c r="C11" s="1">
        <v>46113</v>
      </c>
      <c r="D11" t="s">
        <v>43</v>
      </c>
      <c r="E11" t="s">
        <v>44</v>
      </c>
      <c r="F11" t="s">
        <v>11</v>
      </c>
      <c r="G11" t="s">
        <v>37</v>
      </c>
      <c r="H11">
        <v>3</v>
      </c>
      <c r="I11" s="2">
        <v>1250</v>
      </c>
      <c r="J11" s="2">
        <f>Ventas[[#This Row],[Cantidad]]*Ventas[[#This Row],[Precio Unitario]]</f>
        <v>3750</v>
      </c>
      <c r="K11" t="str">
        <f>IF(Ventas[[#This Row],[Venta Total]]&gt;=2000,"SI","NO")</f>
        <v>SI</v>
      </c>
      <c r="L11" t="str">
        <f>_xlfn.TEXTJOIN(" ",TRUE,Ventas[[#This Row],[Producto]],Ventas[[#This Row],[Vendedor]], Ventas[[#This Row],[Venta Total]])</f>
        <v>Tablet Valeria 3750</v>
      </c>
      <c r="M11" s="4" t="str">
        <f>RIGHT(Ventas[[#This Row],[ID]],3)</f>
        <v>039</v>
      </c>
      <c r="N11" s="4" t="str">
        <f>_xlfn.TEXTJOIN("-", TRUE, DAY(Ventas[[#This Row],[Fecha]]), MONTH(Ventas[[#This Row],[Fecha]]), YEAR(Ventas[[#This Row],[Fecha]]))</f>
        <v>1-4-2026</v>
      </c>
    </row>
    <row r="12" spans="2:14" x14ac:dyDescent="0.3">
      <c r="B12" t="s">
        <v>63</v>
      </c>
      <c r="C12" s="1">
        <v>46060</v>
      </c>
      <c r="D12" t="s">
        <v>9</v>
      </c>
      <c r="E12" t="s">
        <v>10</v>
      </c>
      <c r="F12" t="s">
        <v>11</v>
      </c>
      <c r="G12" t="s">
        <v>41</v>
      </c>
      <c r="H12">
        <v>1</v>
      </c>
      <c r="I12" s="2">
        <v>3500</v>
      </c>
      <c r="J12" s="2">
        <f>Ventas[[#This Row],[Cantidad]]*Ventas[[#This Row],[Precio Unitario]]</f>
        <v>3500</v>
      </c>
      <c r="K12" t="str">
        <f>IF(Ventas[[#This Row],[Venta Total]]&gt;=2000,"SI","NO")</f>
        <v>SI</v>
      </c>
      <c r="L12" t="str">
        <f>_xlfn.TEXTJOIN(" ",TRUE,Ventas[[#This Row],[Producto]],Ventas[[#This Row],[Vendedor]], Ventas[[#This Row],[Venta Total]])</f>
        <v>Laptop Jorge 3500</v>
      </c>
      <c r="M12" s="4" t="str">
        <f>RIGHT(Ventas[[#This Row],[ID]],3)</f>
        <v>016</v>
      </c>
      <c r="N12" s="4" t="str">
        <f>_xlfn.TEXTJOIN("-", TRUE, DAY(Ventas[[#This Row],[Fecha]]), MONTH(Ventas[[#This Row],[Fecha]]), YEAR(Ventas[[#This Row],[Fecha]]))</f>
        <v>7-2-2026</v>
      </c>
    </row>
    <row r="13" spans="2:14" x14ac:dyDescent="0.3">
      <c r="B13" t="s">
        <v>93</v>
      </c>
      <c r="C13" s="1">
        <v>46129</v>
      </c>
      <c r="D13" t="s">
        <v>9</v>
      </c>
      <c r="E13" t="s">
        <v>10</v>
      </c>
      <c r="F13" t="s">
        <v>11</v>
      </c>
      <c r="G13" t="s">
        <v>33</v>
      </c>
      <c r="H13">
        <v>1</v>
      </c>
      <c r="I13" s="2">
        <v>3500</v>
      </c>
      <c r="J13" s="2">
        <f>Ventas[[#This Row],[Cantidad]]*Ventas[[#This Row],[Precio Unitario]]</f>
        <v>3500</v>
      </c>
      <c r="K13" t="str">
        <f>IF(Ventas[[#This Row],[Venta Total]]&gt;=2000,"SI","NO")</f>
        <v>SI</v>
      </c>
      <c r="L13" t="str">
        <f>_xlfn.TEXTJOIN(" ",TRUE,Ventas[[#This Row],[Producto]],Ventas[[#This Row],[Vendedor]], Ventas[[#This Row],[Venta Total]])</f>
        <v>Laptop Pedro 3500</v>
      </c>
      <c r="M13" s="4" t="str">
        <f>RIGHT(Ventas[[#This Row],[ID]],3)</f>
        <v>046</v>
      </c>
      <c r="N13" s="4" t="str">
        <f>_xlfn.TEXTJOIN("-", TRUE, DAY(Ventas[[#This Row],[Fecha]]), MONTH(Ventas[[#This Row],[Fecha]]), YEAR(Ventas[[#This Row],[Fecha]]))</f>
        <v>17-4-2026</v>
      </c>
    </row>
    <row r="14" spans="2:14" x14ac:dyDescent="0.3">
      <c r="B14" t="s">
        <v>21</v>
      </c>
      <c r="C14" s="1">
        <v>46032</v>
      </c>
      <c r="D14" t="s">
        <v>22</v>
      </c>
      <c r="E14" t="s">
        <v>23</v>
      </c>
      <c r="F14" t="s">
        <v>11</v>
      </c>
      <c r="G14" t="s">
        <v>24</v>
      </c>
      <c r="H14">
        <v>3</v>
      </c>
      <c r="I14" s="2">
        <v>920</v>
      </c>
      <c r="J14" s="2">
        <f>Ventas[[#This Row],[Cantidad]]*Ventas[[#This Row],[Precio Unitario]]</f>
        <v>2760</v>
      </c>
      <c r="K14" t="str">
        <f>IF(Ventas[[#This Row],[Venta Total]]&gt;=2000,"SI","NO")</f>
        <v>SI</v>
      </c>
      <c r="L14" t="str">
        <f>_xlfn.TEXTJOIN(" ",TRUE,Ventas[[#This Row],[Producto]],Ventas[[#This Row],[Vendedor]], Ventas[[#This Row],[Venta Total]])</f>
        <v>Monitor Luis 2760</v>
      </c>
      <c r="M14" s="4" t="str">
        <f>RIGHT(Ventas[[#This Row],[ID]],3)</f>
        <v>004</v>
      </c>
      <c r="N14" s="4" t="str">
        <f>_xlfn.TEXTJOIN("-", TRUE, DAY(Ventas[[#This Row],[Fecha]]), MONTH(Ventas[[#This Row],[Fecha]]), YEAR(Ventas[[#This Row],[Fecha]]))</f>
        <v>10-1-2026</v>
      </c>
    </row>
    <row r="15" spans="2:14" x14ac:dyDescent="0.3">
      <c r="B15" t="s">
        <v>81</v>
      </c>
      <c r="C15" s="1">
        <v>46101</v>
      </c>
      <c r="D15" t="s">
        <v>22</v>
      </c>
      <c r="E15" t="s">
        <v>23</v>
      </c>
      <c r="F15" t="s">
        <v>11</v>
      </c>
      <c r="G15" t="s">
        <v>16</v>
      </c>
      <c r="H15">
        <v>3</v>
      </c>
      <c r="I15" s="2">
        <v>920</v>
      </c>
      <c r="J15" s="2">
        <f>Ventas[[#This Row],[Cantidad]]*Ventas[[#This Row],[Precio Unitario]]</f>
        <v>2760</v>
      </c>
      <c r="K15" t="str">
        <f>IF(Ventas[[#This Row],[Venta Total]]&gt;=2000,"SI","NO")</f>
        <v>SI</v>
      </c>
      <c r="L15" t="str">
        <f>_xlfn.TEXTJOIN(" ",TRUE,Ventas[[#This Row],[Producto]],Ventas[[#This Row],[Vendedor]], Ventas[[#This Row],[Venta Total]])</f>
        <v>Monitor Carlos 2760</v>
      </c>
      <c r="M15" s="4" t="str">
        <f>RIGHT(Ventas[[#This Row],[ID]],3)</f>
        <v>034</v>
      </c>
      <c r="N15" s="4" t="str">
        <f>_xlfn.TEXTJOIN("-", TRUE, DAY(Ventas[[#This Row],[Fecha]]), MONTH(Ventas[[#This Row],[Fecha]]), YEAR(Ventas[[#This Row],[Fecha]]))</f>
        <v>20-3-2026</v>
      </c>
    </row>
    <row r="16" spans="2:14" x14ac:dyDescent="0.3">
      <c r="B16" t="s">
        <v>67</v>
      </c>
      <c r="C16" s="1">
        <v>46069</v>
      </c>
      <c r="D16" t="s">
        <v>26</v>
      </c>
      <c r="E16" t="s">
        <v>27</v>
      </c>
      <c r="F16" t="s">
        <v>28</v>
      </c>
      <c r="G16" t="s">
        <v>24</v>
      </c>
      <c r="H16">
        <v>7</v>
      </c>
      <c r="I16" s="2">
        <v>380</v>
      </c>
      <c r="J16" s="2">
        <f>Ventas[[#This Row],[Cantidad]]*Ventas[[#This Row],[Precio Unitario]]</f>
        <v>2660</v>
      </c>
      <c r="K16" t="str">
        <f>IF(Ventas[[#This Row],[Venta Total]]&gt;=2000,"SI","NO")</f>
        <v>SI</v>
      </c>
      <c r="L16" t="str">
        <f>_xlfn.TEXTJOIN(" ",TRUE,Ventas[[#This Row],[Producto]],Ventas[[#This Row],[Vendedor]], Ventas[[#This Row],[Venta Total]])</f>
        <v>Silla Luis 2660</v>
      </c>
      <c r="M16" s="4" t="str">
        <f>RIGHT(Ventas[[#This Row],[ID]],3)</f>
        <v>020</v>
      </c>
      <c r="N16" s="4" t="str">
        <f>_xlfn.TEXTJOIN("-", TRUE, DAY(Ventas[[#This Row],[Fecha]]), MONTH(Ventas[[#This Row],[Fecha]]), YEAR(Ventas[[#This Row],[Fecha]]))</f>
        <v>16-2-2026</v>
      </c>
    </row>
    <row r="17" spans="2:14" x14ac:dyDescent="0.3">
      <c r="B17" t="s">
        <v>88</v>
      </c>
      <c r="C17" s="1">
        <v>46117</v>
      </c>
      <c r="D17" t="s">
        <v>49</v>
      </c>
      <c r="E17" t="s">
        <v>50</v>
      </c>
      <c r="F17" t="s">
        <v>11</v>
      </c>
      <c r="G17" t="s">
        <v>12</v>
      </c>
      <c r="H17">
        <v>12</v>
      </c>
      <c r="I17" s="2">
        <v>220</v>
      </c>
      <c r="J17" s="2">
        <f>Ventas[[#This Row],[Cantidad]]*Ventas[[#This Row],[Precio Unitario]]</f>
        <v>2640</v>
      </c>
      <c r="K17" t="str">
        <f>IF(Ventas[[#This Row],[Venta Total]]&gt;=2000,"SI","NO")</f>
        <v>SI</v>
      </c>
      <c r="L17" t="str">
        <f>_xlfn.TEXTJOIN(" ",TRUE,Ventas[[#This Row],[Producto]],Ventas[[#This Row],[Vendedor]], Ventas[[#This Row],[Venta Total]])</f>
        <v>Audífonos Ana 2640</v>
      </c>
      <c r="M17" s="4" t="str">
        <f>RIGHT(Ventas[[#This Row],[ID]],3)</f>
        <v>041</v>
      </c>
      <c r="N17" s="4" t="str">
        <f>_xlfn.TEXTJOIN("-", TRUE, DAY(Ventas[[#This Row],[Fecha]]), MONTH(Ventas[[#This Row],[Fecha]]), YEAR(Ventas[[#This Row],[Fecha]]))</f>
        <v>5-4-2026</v>
      </c>
    </row>
    <row r="18" spans="2:14" x14ac:dyDescent="0.3">
      <c r="B18" t="s">
        <v>71</v>
      </c>
      <c r="C18" s="1">
        <v>46078</v>
      </c>
      <c r="D18" t="s">
        <v>43</v>
      </c>
      <c r="E18" t="s">
        <v>44</v>
      </c>
      <c r="F18" t="s">
        <v>11</v>
      </c>
      <c r="G18" t="s">
        <v>41</v>
      </c>
      <c r="H18">
        <v>2</v>
      </c>
      <c r="I18" s="2">
        <v>1250</v>
      </c>
      <c r="J18" s="2">
        <f>Ventas[[#This Row],[Cantidad]]*Ventas[[#This Row],[Precio Unitario]]</f>
        <v>2500</v>
      </c>
      <c r="K18" t="str">
        <f>IF(Ventas[[#This Row],[Venta Total]]&gt;=2000,"SI","NO")</f>
        <v>SI</v>
      </c>
      <c r="L18" t="str">
        <f>_xlfn.TEXTJOIN(" ",TRUE,Ventas[[#This Row],[Producto]],Ventas[[#This Row],[Vendedor]], Ventas[[#This Row],[Venta Total]])</f>
        <v>Tablet Jorge 2500</v>
      </c>
      <c r="M18" s="4" t="str">
        <f>RIGHT(Ventas[[#This Row],[ID]],3)</f>
        <v>024</v>
      </c>
      <c r="N18" s="4" t="str">
        <f>_xlfn.TEXTJOIN("-", TRUE, DAY(Ventas[[#This Row],[Fecha]]), MONTH(Ventas[[#This Row],[Fecha]]), YEAR(Ventas[[#This Row],[Fecha]]))</f>
        <v>25-2-2026</v>
      </c>
    </row>
    <row r="19" spans="2:14" x14ac:dyDescent="0.3">
      <c r="B19" t="s">
        <v>97</v>
      </c>
      <c r="C19" s="1">
        <v>46139</v>
      </c>
      <c r="D19" t="s">
        <v>26</v>
      </c>
      <c r="E19" t="s">
        <v>27</v>
      </c>
      <c r="F19" t="s">
        <v>28</v>
      </c>
      <c r="G19" t="s">
        <v>16</v>
      </c>
      <c r="H19">
        <v>6</v>
      </c>
      <c r="I19" s="2">
        <v>380</v>
      </c>
      <c r="J19" s="2">
        <f>Ventas[[#This Row],[Cantidad]]*Ventas[[#This Row],[Precio Unitario]]</f>
        <v>2280</v>
      </c>
      <c r="K19" t="str">
        <f>IF(Ventas[[#This Row],[Venta Total]]&gt;=2000,"SI","NO")</f>
        <v>SI</v>
      </c>
      <c r="L19" t="str">
        <f>_xlfn.TEXTJOIN(" ",TRUE,Ventas[[#This Row],[Producto]],Ventas[[#This Row],[Vendedor]], Ventas[[#This Row],[Venta Total]])</f>
        <v>Silla Carlos 2280</v>
      </c>
      <c r="M19" s="4" t="str">
        <f>RIGHT(Ventas[[#This Row],[ID]],3)</f>
        <v>050</v>
      </c>
      <c r="N19" s="4" t="str">
        <f>_xlfn.TEXTJOIN("-", TRUE, DAY(Ventas[[#This Row],[Fecha]]), MONTH(Ventas[[#This Row],[Fecha]]), YEAR(Ventas[[#This Row],[Fecha]]))</f>
        <v>27-4-2026</v>
      </c>
    </row>
    <row r="20" spans="2:14" x14ac:dyDescent="0.3">
      <c r="B20" t="s">
        <v>48</v>
      </c>
      <c r="C20" s="1">
        <v>46046</v>
      </c>
      <c r="D20" t="s">
        <v>49</v>
      </c>
      <c r="E20" t="s">
        <v>50</v>
      </c>
      <c r="F20" t="s">
        <v>11</v>
      </c>
      <c r="G20" t="s">
        <v>20</v>
      </c>
      <c r="H20">
        <v>10</v>
      </c>
      <c r="I20" s="2">
        <v>220</v>
      </c>
      <c r="J20" s="2">
        <f>Ventas[[#This Row],[Cantidad]]*Ventas[[#This Row],[Precio Unitario]]</f>
        <v>2200</v>
      </c>
      <c r="K20" t="str">
        <f>IF(Ventas[[#This Row],[Venta Total]]&gt;=2000,"SI","NO")</f>
        <v>SI</v>
      </c>
      <c r="L20" t="str">
        <f>_xlfn.TEXTJOIN(" ",TRUE,Ventas[[#This Row],[Producto]],Ventas[[#This Row],[Vendedor]], Ventas[[#This Row],[Venta Total]])</f>
        <v>Audífonos María 2200</v>
      </c>
      <c r="M20" s="4" t="str">
        <f>RIGHT(Ventas[[#This Row],[ID]],3)</f>
        <v>011</v>
      </c>
      <c r="N20" s="4" t="str">
        <f>_xlfn.TEXTJOIN("-", TRUE, DAY(Ventas[[#This Row],[Fecha]]), MONTH(Ventas[[#This Row],[Fecha]]), YEAR(Ventas[[#This Row],[Fecha]]))</f>
        <v>24-1-2026</v>
      </c>
    </row>
    <row r="21" spans="2:14" x14ac:dyDescent="0.3">
      <c r="B21" t="s">
        <v>30</v>
      </c>
      <c r="C21" s="1">
        <v>46036</v>
      </c>
      <c r="D21" t="s">
        <v>31</v>
      </c>
      <c r="E21" t="s">
        <v>32</v>
      </c>
      <c r="F21" t="s">
        <v>28</v>
      </c>
      <c r="G21" t="s">
        <v>33</v>
      </c>
      <c r="H21">
        <v>2</v>
      </c>
      <c r="I21" s="2">
        <v>980</v>
      </c>
      <c r="J21" s="2">
        <f>Ventas[[#This Row],[Cantidad]]*Ventas[[#This Row],[Precio Unitario]]</f>
        <v>1960</v>
      </c>
      <c r="K21" t="str">
        <f>IF(Ventas[[#This Row],[Venta Total]]&gt;=2000,"SI","NO")</f>
        <v>NO</v>
      </c>
      <c r="L21" t="str">
        <f>_xlfn.TEXTJOIN(" ",TRUE,Ventas[[#This Row],[Producto]],Ventas[[#This Row],[Vendedor]], Ventas[[#This Row],[Venta Total]])</f>
        <v>Escritorio Pedro 1960</v>
      </c>
      <c r="M21" s="4" t="str">
        <f>RIGHT(Ventas[[#This Row],[ID]],3)</f>
        <v>006</v>
      </c>
      <c r="N21" s="4" t="str">
        <f>_xlfn.TEXTJOIN("-", TRUE, DAY(Ventas[[#This Row],[Fecha]]), MONTH(Ventas[[#This Row],[Fecha]]), YEAR(Ventas[[#This Row],[Fecha]]))</f>
        <v>14-1-2026</v>
      </c>
    </row>
    <row r="22" spans="2:14" x14ac:dyDescent="0.3">
      <c r="B22" t="s">
        <v>83</v>
      </c>
      <c r="C22" s="1">
        <v>46105</v>
      </c>
      <c r="D22" t="s">
        <v>31</v>
      </c>
      <c r="E22" t="s">
        <v>32</v>
      </c>
      <c r="F22" t="s">
        <v>28</v>
      </c>
      <c r="G22" t="s">
        <v>24</v>
      </c>
      <c r="H22">
        <v>2</v>
      </c>
      <c r="I22" s="2">
        <v>980</v>
      </c>
      <c r="J22" s="2">
        <f>Ventas[[#This Row],[Cantidad]]*Ventas[[#This Row],[Precio Unitario]]</f>
        <v>1960</v>
      </c>
      <c r="K22" t="str">
        <f>IF(Ventas[[#This Row],[Venta Total]]&gt;=2000,"SI","NO")</f>
        <v>NO</v>
      </c>
      <c r="L22" t="str">
        <f>_xlfn.TEXTJOIN(" ",TRUE,Ventas[[#This Row],[Producto]],Ventas[[#This Row],[Vendedor]], Ventas[[#This Row],[Venta Total]])</f>
        <v>Escritorio Luis 1960</v>
      </c>
      <c r="M22" s="4" t="str">
        <f>RIGHT(Ventas[[#This Row],[ID]],3)</f>
        <v>036</v>
      </c>
      <c r="N22" s="4" t="str">
        <f>_xlfn.TEXTJOIN("-", TRUE, DAY(Ventas[[#This Row],[Fecha]]), MONTH(Ventas[[#This Row],[Fecha]]), YEAR(Ventas[[#This Row],[Fecha]]))</f>
        <v>24-3-2026</v>
      </c>
    </row>
    <row r="23" spans="2:14" x14ac:dyDescent="0.3">
      <c r="B23" t="s">
        <v>82</v>
      </c>
      <c r="C23" s="1">
        <v>46103</v>
      </c>
      <c r="D23" t="s">
        <v>26</v>
      </c>
      <c r="E23" t="s">
        <v>27</v>
      </c>
      <c r="F23" t="s">
        <v>28</v>
      </c>
      <c r="G23" t="s">
        <v>20</v>
      </c>
      <c r="H23">
        <v>5</v>
      </c>
      <c r="I23" s="2">
        <v>380</v>
      </c>
      <c r="J23" s="2">
        <f>Ventas[[#This Row],[Cantidad]]*Ventas[[#This Row],[Precio Unitario]]</f>
        <v>1900</v>
      </c>
      <c r="K23" t="str">
        <f>IF(Ventas[[#This Row],[Venta Total]]&gt;=2000,"SI","NO")</f>
        <v>NO</v>
      </c>
      <c r="L23" t="str">
        <f>_xlfn.TEXTJOIN(" ",TRUE,Ventas[[#This Row],[Producto]],Ventas[[#This Row],[Vendedor]], Ventas[[#This Row],[Venta Total]])</f>
        <v>Silla María 1900</v>
      </c>
      <c r="M23" s="4" t="str">
        <f>RIGHT(Ventas[[#This Row],[ID]],3)</f>
        <v>035</v>
      </c>
      <c r="N23" s="4" t="str">
        <f>_xlfn.TEXTJOIN("-", TRUE, DAY(Ventas[[#This Row],[Fecha]]), MONTH(Ventas[[#This Row],[Fecha]]), YEAR(Ventas[[#This Row],[Fecha]]))</f>
        <v>22-3-2026</v>
      </c>
    </row>
    <row r="24" spans="2:14" x14ac:dyDescent="0.3">
      <c r="B24" t="s">
        <v>66</v>
      </c>
      <c r="C24" s="1">
        <v>46066</v>
      </c>
      <c r="D24" t="s">
        <v>22</v>
      </c>
      <c r="E24" t="s">
        <v>23</v>
      </c>
      <c r="F24" t="s">
        <v>11</v>
      </c>
      <c r="G24" t="s">
        <v>20</v>
      </c>
      <c r="H24">
        <v>2</v>
      </c>
      <c r="I24" s="2">
        <v>920</v>
      </c>
      <c r="J24" s="2">
        <f>Ventas[[#This Row],[Cantidad]]*Ventas[[#This Row],[Precio Unitario]]</f>
        <v>1840</v>
      </c>
      <c r="K24" t="str">
        <f>IF(Ventas[[#This Row],[Venta Total]]&gt;=2000,"SI","NO")</f>
        <v>NO</v>
      </c>
      <c r="L24" t="str">
        <f>_xlfn.TEXTJOIN(" ",TRUE,Ventas[[#This Row],[Producto]],Ventas[[#This Row],[Vendedor]], Ventas[[#This Row],[Venta Total]])</f>
        <v>Monitor María 1840</v>
      </c>
      <c r="M24" s="4" t="str">
        <f>RIGHT(Ventas[[#This Row],[ID]],3)</f>
        <v>019</v>
      </c>
      <c r="N24" s="4" t="str">
        <f>_xlfn.TEXTJOIN("-", TRUE, DAY(Ventas[[#This Row],[Fecha]]), MONTH(Ventas[[#This Row],[Fecha]]), YEAR(Ventas[[#This Row],[Fecha]]))</f>
        <v>13-2-2026</v>
      </c>
    </row>
    <row r="25" spans="2:14" x14ac:dyDescent="0.3">
      <c r="B25" t="s">
        <v>96</v>
      </c>
      <c r="C25" s="1">
        <v>46136</v>
      </c>
      <c r="D25" t="s">
        <v>22</v>
      </c>
      <c r="E25" t="s">
        <v>23</v>
      </c>
      <c r="F25" t="s">
        <v>11</v>
      </c>
      <c r="G25" t="s">
        <v>12</v>
      </c>
      <c r="H25">
        <v>2</v>
      </c>
      <c r="I25" s="2">
        <v>920</v>
      </c>
      <c r="J25" s="2">
        <f>Ventas[[#This Row],[Cantidad]]*Ventas[[#This Row],[Precio Unitario]]</f>
        <v>1840</v>
      </c>
      <c r="K25" t="str">
        <f>IF(Ventas[[#This Row],[Venta Total]]&gt;=2000,"SI","NO")</f>
        <v>NO</v>
      </c>
      <c r="L25" t="str">
        <f>_xlfn.TEXTJOIN(" ",TRUE,Ventas[[#This Row],[Producto]],Ventas[[#This Row],[Vendedor]], Ventas[[#This Row],[Venta Total]])</f>
        <v>Monitor Ana 1840</v>
      </c>
      <c r="M25" s="4" t="str">
        <f>RIGHT(Ventas[[#This Row],[ID]],3)</f>
        <v>049</v>
      </c>
      <c r="N25" s="4" t="str">
        <f>_xlfn.TEXTJOIN("-", TRUE, DAY(Ventas[[#This Row],[Fecha]]), MONTH(Ventas[[#This Row],[Fecha]]), YEAR(Ventas[[#This Row],[Fecha]]))</f>
        <v>24-4-2026</v>
      </c>
    </row>
    <row r="26" spans="2:14" x14ac:dyDescent="0.3">
      <c r="B26" t="s">
        <v>57</v>
      </c>
      <c r="C26" s="1">
        <v>46055</v>
      </c>
      <c r="D26" t="s">
        <v>58</v>
      </c>
      <c r="E26" t="s">
        <v>59</v>
      </c>
      <c r="F26" t="s">
        <v>11</v>
      </c>
      <c r="G26" t="s">
        <v>33</v>
      </c>
      <c r="H26">
        <v>4</v>
      </c>
      <c r="I26" s="2">
        <v>450</v>
      </c>
      <c r="J26" s="2">
        <f>Ventas[[#This Row],[Cantidad]]*Ventas[[#This Row],[Precio Unitario]]</f>
        <v>1800</v>
      </c>
      <c r="K26" t="str">
        <f>IF(Ventas[[#This Row],[Venta Total]]&gt;=2000,"SI","NO")</f>
        <v>NO</v>
      </c>
      <c r="L26" t="str">
        <f>_xlfn.TEXTJOIN(" ",TRUE,Ventas[[#This Row],[Producto]],Ventas[[#This Row],[Vendedor]], Ventas[[#This Row],[Venta Total]])</f>
        <v>SSD 1TB Pedro 1800</v>
      </c>
      <c r="M26" s="4" t="str">
        <f>RIGHT(Ventas[[#This Row],[ID]],3)</f>
        <v>014</v>
      </c>
      <c r="N26" s="4" t="str">
        <f>_xlfn.TEXTJOIN("-", TRUE, DAY(Ventas[[#This Row],[Fecha]]), MONTH(Ventas[[#This Row],[Fecha]]), YEAR(Ventas[[#This Row],[Fecha]]))</f>
        <v>2-2-2026</v>
      </c>
    </row>
    <row r="27" spans="2:14" x14ac:dyDescent="0.3">
      <c r="B27" t="s">
        <v>91</v>
      </c>
      <c r="C27" s="1">
        <v>46124</v>
      </c>
      <c r="D27" t="s">
        <v>58</v>
      </c>
      <c r="E27" t="s">
        <v>59</v>
      </c>
      <c r="F27" t="s">
        <v>11</v>
      </c>
      <c r="G27" t="s">
        <v>24</v>
      </c>
      <c r="H27">
        <v>4</v>
      </c>
      <c r="I27" s="2">
        <v>450</v>
      </c>
      <c r="J27" s="2">
        <f>Ventas[[#This Row],[Cantidad]]*Ventas[[#This Row],[Precio Unitario]]</f>
        <v>1800</v>
      </c>
      <c r="K27" t="str">
        <f>IF(Ventas[[#This Row],[Venta Total]]&gt;=2000,"SI","NO")</f>
        <v>NO</v>
      </c>
      <c r="L27" t="str">
        <f>_xlfn.TEXTJOIN(" ",TRUE,Ventas[[#This Row],[Producto]],Ventas[[#This Row],[Vendedor]], Ventas[[#This Row],[Venta Total]])</f>
        <v>SSD 1TB Luis 1800</v>
      </c>
      <c r="M27" s="4" t="str">
        <f>RIGHT(Ventas[[#This Row],[ID]],3)</f>
        <v>044</v>
      </c>
      <c r="N27" s="4" t="str">
        <f>_xlfn.TEXTJOIN("-", TRUE, DAY(Ventas[[#This Row],[Fecha]]), MONTH(Ventas[[#This Row],[Fecha]]), YEAR(Ventas[[#This Row],[Fecha]]))</f>
        <v>12-4-2026</v>
      </c>
    </row>
    <row r="28" spans="2:14" x14ac:dyDescent="0.3">
      <c r="B28" t="s">
        <v>73</v>
      </c>
      <c r="C28" s="1">
        <v>46082</v>
      </c>
      <c r="D28" t="s">
        <v>49</v>
      </c>
      <c r="E28" t="s">
        <v>50</v>
      </c>
      <c r="F28" t="s">
        <v>11</v>
      </c>
      <c r="G28" t="s">
        <v>16</v>
      </c>
      <c r="H28">
        <v>8</v>
      </c>
      <c r="I28" s="2">
        <v>220</v>
      </c>
      <c r="J28" s="2">
        <f>Ventas[[#This Row],[Cantidad]]*Ventas[[#This Row],[Precio Unitario]]</f>
        <v>1760</v>
      </c>
      <c r="K28" t="str">
        <f>IF(Ventas[[#This Row],[Venta Total]]&gt;=2000,"SI","NO")</f>
        <v>NO</v>
      </c>
      <c r="L28" t="str">
        <f>_xlfn.TEXTJOIN(" ",TRUE,Ventas[[#This Row],[Producto]],Ventas[[#This Row],[Vendedor]], Ventas[[#This Row],[Venta Total]])</f>
        <v>Audífonos Carlos 1760</v>
      </c>
      <c r="M28" s="4" t="str">
        <f>RIGHT(Ventas[[#This Row],[ID]],3)</f>
        <v>026</v>
      </c>
      <c r="N28" s="4" t="str">
        <f>_xlfn.TEXTJOIN("-", TRUE, DAY(Ventas[[#This Row],[Fecha]]), MONTH(Ventas[[#This Row],[Fecha]]), YEAR(Ventas[[#This Row],[Fecha]]))</f>
        <v>1-3-2026</v>
      </c>
    </row>
    <row r="29" spans="2:14" x14ac:dyDescent="0.3">
      <c r="B29" t="s">
        <v>54</v>
      </c>
      <c r="C29" s="1">
        <v>46052</v>
      </c>
      <c r="D29" t="s">
        <v>55</v>
      </c>
      <c r="E29" t="s">
        <v>56</v>
      </c>
      <c r="F29" t="s">
        <v>11</v>
      </c>
      <c r="G29" t="s">
        <v>29</v>
      </c>
      <c r="H29">
        <v>5</v>
      </c>
      <c r="I29" s="2">
        <v>310</v>
      </c>
      <c r="J29" s="2">
        <f>Ventas[[#This Row],[Cantidad]]*Ventas[[#This Row],[Precio Unitario]]</f>
        <v>1550</v>
      </c>
      <c r="K29" t="str">
        <f>IF(Ventas[[#This Row],[Venta Total]]&gt;=2000,"SI","NO")</f>
        <v>NO</v>
      </c>
      <c r="L29" t="str">
        <f>_xlfn.TEXTJOIN(" ",TRUE,Ventas[[#This Row],[Producto]],Ventas[[#This Row],[Vendedor]], Ventas[[#This Row],[Venta Total]])</f>
        <v>Router Sofía 1550</v>
      </c>
      <c r="M29" s="4" t="str">
        <f>RIGHT(Ventas[[#This Row],[ID]],3)</f>
        <v>013</v>
      </c>
      <c r="N29" s="4" t="str">
        <f>_xlfn.TEXTJOIN("-", TRUE, DAY(Ventas[[#This Row],[Fecha]]), MONTH(Ventas[[#This Row],[Fecha]]), YEAR(Ventas[[#This Row],[Fecha]]))</f>
        <v>30-1-2026</v>
      </c>
    </row>
    <row r="30" spans="2:14" x14ac:dyDescent="0.3">
      <c r="B30" t="s">
        <v>90</v>
      </c>
      <c r="C30" s="1">
        <v>46122</v>
      </c>
      <c r="D30" t="s">
        <v>55</v>
      </c>
      <c r="E30" t="s">
        <v>56</v>
      </c>
      <c r="F30" t="s">
        <v>11</v>
      </c>
      <c r="G30" t="s">
        <v>20</v>
      </c>
      <c r="H30">
        <v>5</v>
      </c>
      <c r="I30" s="2">
        <v>310</v>
      </c>
      <c r="J30" s="2">
        <f>Ventas[[#This Row],[Cantidad]]*Ventas[[#This Row],[Precio Unitario]]</f>
        <v>1550</v>
      </c>
      <c r="K30" t="str">
        <f>IF(Ventas[[#This Row],[Venta Total]]&gt;=2000,"SI","NO")</f>
        <v>NO</v>
      </c>
      <c r="L30" t="str">
        <f>_xlfn.TEXTJOIN(" ",TRUE,Ventas[[#This Row],[Producto]],Ventas[[#This Row],[Vendedor]], Ventas[[#This Row],[Venta Total]])</f>
        <v>Router María 1550</v>
      </c>
      <c r="M30" s="4" t="str">
        <f>RIGHT(Ventas[[#This Row],[ID]],3)</f>
        <v>043</v>
      </c>
      <c r="N30" s="4" t="str">
        <f>_xlfn.TEXTJOIN("-", TRUE, DAY(Ventas[[#This Row],[Fecha]]), MONTH(Ventas[[#This Row],[Fecha]]), YEAR(Ventas[[#This Row],[Fecha]]))</f>
        <v>10-4-2026</v>
      </c>
    </row>
    <row r="31" spans="2:14" x14ac:dyDescent="0.3">
      <c r="B31" t="s">
        <v>25</v>
      </c>
      <c r="C31" s="1">
        <v>46034</v>
      </c>
      <c r="D31" t="s">
        <v>26</v>
      </c>
      <c r="E31" t="s">
        <v>27</v>
      </c>
      <c r="F31" t="s">
        <v>28</v>
      </c>
      <c r="G31" t="s">
        <v>29</v>
      </c>
      <c r="H31">
        <v>4</v>
      </c>
      <c r="I31" s="2">
        <v>380</v>
      </c>
      <c r="J31" s="2">
        <f>Ventas[[#This Row],[Cantidad]]*Ventas[[#This Row],[Precio Unitario]]</f>
        <v>1520</v>
      </c>
      <c r="K31" t="str">
        <f>IF(Ventas[[#This Row],[Venta Total]]&gt;=2000,"SI","NO")</f>
        <v>NO</v>
      </c>
      <c r="L31" t="str">
        <f>_xlfn.TEXTJOIN(" ",TRUE,Ventas[[#This Row],[Producto]],Ventas[[#This Row],[Vendedor]], Ventas[[#This Row],[Venta Total]])</f>
        <v>Silla Sofía 1520</v>
      </c>
      <c r="M31" s="4" t="str">
        <f>RIGHT(Ventas[[#This Row],[ID]],3)</f>
        <v>005</v>
      </c>
      <c r="N31" s="4" t="str">
        <f>_xlfn.TEXTJOIN("-", TRUE, DAY(Ventas[[#This Row],[Fecha]]), MONTH(Ventas[[#This Row],[Fecha]]), YEAR(Ventas[[#This Row],[Fecha]]))</f>
        <v>12-1-2026</v>
      </c>
    </row>
    <row r="32" spans="2:14" x14ac:dyDescent="0.3">
      <c r="B32" t="s">
        <v>76</v>
      </c>
      <c r="C32" s="1">
        <v>46089</v>
      </c>
      <c r="D32" t="s">
        <v>58</v>
      </c>
      <c r="E32" t="s">
        <v>59</v>
      </c>
      <c r="F32" t="s">
        <v>11</v>
      </c>
      <c r="G32" t="s">
        <v>29</v>
      </c>
      <c r="H32">
        <v>3</v>
      </c>
      <c r="I32" s="2">
        <v>450</v>
      </c>
      <c r="J32" s="2">
        <f>Ventas[[#This Row],[Cantidad]]*Ventas[[#This Row],[Precio Unitario]]</f>
        <v>1350</v>
      </c>
      <c r="K32" t="str">
        <f>IF(Ventas[[#This Row],[Venta Total]]&gt;=2000,"SI","NO")</f>
        <v>NO</v>
      </c>
      <c r="L32" t="str">
        <f>_xlfn.TEXTJOIN(" ",TRUE,Ventas[[#This Row],[Producto]],Ventas[[#This Row],[Vendedor]], Ventas[[#This Row],[Venta Total]])</f>
        <v>SSD 1TB Sofía 1350</v>
      </c>
      <c r="M32" s="4" t="str">
        <f>RIGHT(Ventas[[#This Row],[ID]],3)</f>
        <v>029</v>
      </c>
      <c r="N32" s="4" t="str">
        <f>_xlfn.TEXTJOIN("-", TRUE, DAY(Ventas[[#This Row],[Fecha]]), MONTH(Ventas[[#This Row],[Fecha]]), YEAR(Ventas[[#This Row],[Fecha]]))</f>
        <v>8-3-2026</v>
      </c>
    </row>
    <row r="33" spans="2:14" x14ac:dyDescent="0.3">
      <c r="B33" t="s">
        <v>89</v>
      </c>
      <c r="C33" s="1">
        <v>46120</v>
      </c>
      <c r="D33" t="s">
        <v>52</v>
      </c>
      <c r="E33" t="s">
        <v>53</v>
      </c>
      <c r="F33" t="s">
        <v>11</v>
      </c>
      <c r="G33" t="s">
        <v>16</v>
      </c>
      <c r="H33">
        <v>7</v>
      </c>
      <c r="I33" s="2">
        <v>180</v>
      </c>
      <c r="J33" s="2">
        <f>Ventas[[#This Row],[Cantidad]]*Ventas[[#This Row],[Precio Unitario]]</f>
        <v>1260</v>
      </c>
      <c r="K33" t="str">
        <f>IF(Ventas[[#This Row],[Venta Total]]&gt;=2000,"SI","NO")</f>
        <v>NO</v>
      </c>
      <c r="L33" t="str">
        <f>_xlfn.TEXTJOIN(" ",TRUE,Ventas[[#This Row],[Producto]],Ventas[[#This Row],[Vendedor]], Ventas[[#This Row],[Venta Total]])</f>
        <v>Webcam Carlos 1260</v>
      </c>
      <c r="M33" s="4" t="str">
        <f>RIGHT(Ventas[[#This Row],[ID]],3)</f>
        <v>042</v>
      </c>
      <c r="N33" s="4" t="str">
        <f>_xlfn.TEXTJOIN("-", TRUE, DAY(Ventas[[#This Row],[Fecha]]), MONTH(Ventas[[#This Row],[Fecha]]), YEAR(Ventas[[#This Row],[Fecha]]))</f>
        <v>8-4-2026</v>
      </c>
    </row>
    <row r="34" spans="2:14" x14ac:dyDescent="0.3">
      <c r="B34" t="s">
        <v>75</v>
      </c>
      <c r="C34" s="1">
        <v>46086</v>
      </c>
      <c r="D34" t="s">
        <v>55</v>
      </c>
      <c r="E34" t="s">
        <v>56</v>
      </c>
      <c r="F34" t="s">
        <v>11</v>
      </c>
      <c r="G34" t="s">
        <v>24</v>
      </c>
      <c r="H34">
        <v>4</v>
      </c>
      <c r="I34" s="2">
        <v>310</v>
      </c>
      <c r="J34" s="2">
        <f>Ventas[[#This Row],[Cantidad]]*Ventas[[#This Row],[Precio Unitario]]</f>
        <v>1240</v>
      </c>
      <c r="K34" t="str">
        <f>IF(Ventas[[#This Row],[Venta Total]]&gt;=2000,"SI","NO")</f>
        <v>NO</v>
      </c>
      <c r="L34" t="str">
        <f>_xlfn.TEXTJOIN(" ",TRUE,Ventas[[#This Row],[Producto]],Ventas[[#This Row],[Vendedor]], Ventas[[#This Row],[Venta Total]])</f>
        <v>Router Luis 1240</v>
      </c>
      <c r="M34" s="4" t="str">
        <f>RIGHT(Ventas[[#This Row],[ID]],3)</f>
        <v>028</v>
      </c>
      <c r="N34" s="4" t="str">
        <f>_xlfn.TEXTJOIN("-", TRUE, DAY(Ventas[[#This Row],[Fecha]]), MONTH(Ventas[[#This Row],[Fecha]]), YEAR(Ventas[[#This Row],[Fecha]]))</f>
        <v>5-3-2026</v>
      </c>
    </row>
    <row r="35" spans="2:14" x14ac:dyDescent="0.3">
      <c r="B35" t="s">
        <v>92</v>
      </c>
      <c r="C35" s="1">
        <v>46127</v>
      </c>
      <c r="D35" t="s">
        <v>61</v>
      </c>
      <c r="E35" t="s">
        <v>62</v>
      </c>
      <c r="F35" t="s">
        <v>11</v>
      </c>
      <c r="G35" t="s">
        <v>29</v>
      </c>
      <c r="H35">
        <v>25</v>
      </c>
      <c r="I35" s="2">
        <v>48</v>
      </c>
      <c r="J35" s="2">
        <f>Ventas[[#This Row],[Cantidad]]*Ventas[[#This Row],[Precio Unitario]]</f>
        <v>1200</v>
      </c>
      <c r="K35" t="str">
        <f>IF(Ventas[[#This Row],[Venta Total]]&gt;=2000,"SI","NO")</f>
        <v>NO</v>
      </c>
      <c r="L35" t="str">
        <f>_xlfn.TEXTJOIN(" ",TRUE,Ventas[[#This Row],[Producto]],Ventas[[#This Row],[Vendedor]], Ventas[[#This Row],[Venta Total]])</f>
        <v>Memoria USB Sofía 1200</v>
      </c>
      <c r="M35" s="4" t="str">
        <f>RIGHT(Ventas[[#This Row],[ID]],3)</f>
        <v>045</v>
      </c>
      <c r="N35" s="4" t="str">
        <f>_xlfn.TEXTJOIN("-", TRUE, DAY(Ventas[[#This Row],[Fecha]]), MONTH(Ventas[[#This Row],[Fecha]]), YEAR(Ventas[[#This Row],[Fecha]]))</f>
        <v>15-4-2026</v>
      </c>
    </row>
    <row r="36" spans="2:14" x14ac:dyDescent="0.3">
      <c r="B36" t="s">
        <v>51</v>
      </c>
      <c r="C36" s="1">
        <v>46049</v>
      </c>
      <c r="D36" t="s">
        <v>52</v>
      </c>
      <c r="E36" t="s">
        <v>53</v>
      </c>
      <c r="F36" t="s">
        <v>11</v>
      </c>
      <c r="G36" t="s">
        <v>24</v>
      </c>
      <c r="H36">
        <v>6</v>
      </c>
      <c r="I36" s="2">
        <v>180</v>
      </c>
      <c r="J36" s="2">
        <f>Ventas[[#This Row],[Cantidad]]*Ventas[[#This Row],[Precio Unitario]]</f>
        <v>1080</v>
      </c>
      <c r="K36" t="str">
        <f>IF(Ventas[[#This Row],[Venta Total]]&gt;=2000,"SI","NO")</f>
        <v>NO</v>
      </c>
      <c r="L36" t="str">
        <f>_xlfn.TEXTJOIN(" ",TRUE,Ventas[[#This Row],[Producto]],Ventas[[#This Row],[Vendedor]], Ventas[[#This Row],[Venta Total]])</f>
        <v>Webcam Luis 1080</v>
      </c>
      <c r="M36" s="4" t="str">
        <f>RIGHT(Ventas[[#This Row],[ID]],3)</f>
        <v>012</v>
      </c>
      <c r="N36" s="4" t="str">
        <f>_xlfn.TEXTJOIN("-", TRUE, DAY(Ventas[[#This Row],[Fecha]]), MONTH(Ventas[[#This Row],[Fecha]]), YEAR(Ventas[[#This Row],[Fecha]]))</f>
        <v>27-1-2026</v>
      </c>
    </row>
    <row r="37" spans="2:14" x14ac:dyDescent="0.3">
      <c r="B37" t="s">
        <v>68</v>
      </c>
      <c r="C37" s="1">
        <v>46071</v>
      </c>
      <c r="D37" t="s">
        <v>31</v>
      </c>
      <c r="E37" t="s">
        <v>32</v>
      </c>
      <c r="F37" t="s">
        <v>28</v>
      </c>
      <c r="G37" t="s">
        <v>29</v>
      </c>
      <c r="H37">
        <v>1</v>
      </c>
      <c r="I37" s="2">
        <v>980</v>
      </c>
      <c r="J37" s="2">
        <f>Ventas[[#This Row],[Cantidad]]*Ventas[[#This Row],[Precio Unitario]]</f>
        <v>980</v>
      </c>
      <c r="K37" t="str">
        <f>IF(Ventas[[#This Row],[Venta Total]]&gt;=2000,"SI","NO")</f>
        <v>NO</v>
      </c>
      <c r="L37" t="str">
        <f>_xlfn.TEXTJOIN(" ",TRUE,Ventas[[#This Row],[Producto]],Ventas[[#This Row],[Vendedor]], Ventas[[#This Row],[Venta Total]])</f>
        <v>Escritorio Sofía 980</v>
      </c>
      <c r="M37" s="4" t="str">
        <f>RIGHT(Ventas[[#This Row],[ID]],3)</f>
        <v>021</v>
      </c>
      <c r="N37" s="4" t="str">
        <f>_xlfn.TEXTJOIN("-", TRUE, DAY(Ventas[[#This Row],[Fecha]]), MONTH(Ventas[[#This Row],[Fecha]]), YEAR(Ventas[[#This Row],[Fecha]]))</f>
        <v>18-2-2026</v>
      </c>
    </row>
    <row r="38" spans="2:14" x14ac:dyDescent="0.3">
      <c r="B38" t="s">
        <v>77</v>
      </c>
      <c r="C38" s="1">
        <v>46091</v>
      </c>
      <c r="D38" t="s">
        <v>61</v>
      </c>
      <c r="E38" t="s">
        <v>62</v>
      </c>
      <c r="F38" t="s">
        <v>11</v>
      </c>
      <c r="G38" t="s">
        <v>33</v>
      </c>
      <c r="H38">
        <v>20</v>
      </c>
      <c r="I38" s="2">
        <v>48</v>
      </c>
      <c r="J38" s="2">
        <f>Ventas[[#This Row],[Cantidad]]*Ventas[[#This Row],[Precio Unitario]]</f>
        <v>960</v>
      </c>
      <c r="K38" t="str">
        <f>IF(Ventas[[#This Row],[Venta Total]]&gt;=2000,"SI","NO")</f>
        <v>NO</v>
      </c>
      <c r="L38" t="str">
        <f>_xlfn.TEXTJOIN(" ",TRUE,Ventas[[#This Row],[Producto]],Ventas[[#This Row],[Vendedor]], Ventas[[#This Row],[Venta Total]])</f>
        <v>Memoria USB Pedro 960</v>
      </c>
      <c r="M38" s="4" t="str">
        <f>RIGHT(Ventas[[#This Row],[ID]],3)</f>
        <v>030</v>
      </c>
      <c r="N38" s="4" t="str">
        <f>_xlfn.TEXTJOIN("-", TRUE, DAY(Ventas[[#This Row],[Fecha]]), MONTH(Ventas[[#This Row],[Fecha]]), YEAR(Ventas[[#This Row],[Fecha]]))</f>
        <v>10-3-2026</v>
      </c>
    </row>
    <row r="39" spans="2:14" x14ac:dyDescent="0.3">
      <c r="B39" t="s">
        <v>74</v>
      </c>
      <c r="C39" s="1">
        <v>46084</v>
      </c>
      <c r="D39" t="s">
        <v>52</v>
      </c>
      <c r="E39" t="s">
        <v>53</v>
      </c>
      <c r="F39" t="s">
        <v>11</v>
      </c>
      <c r="G39" t="s">
        <v>20</v>
      </c>
      <c r="H39">
        <v>5</v>
      </c>
      <c r="I39" s="2">
        <v>180</v>
      </c>
      <c r="J39" s="2">
        <f>Ventas[[#This Row],[Cantidad]]*Ventas[[#This Row],[Precio Unitario]]</f>
        <v>900</v>
      </c>
      <c r="K39" t="str">
        <f>IF(Ventas[[#This Row],[Venta Total]]&gt;=2000,"SI","NO")</f>
        <v>NO</v>
      </c>
      <c r="L39" t="str">
        <f>_xlfn.TEXTJOIN(" ",TRUE,Ventas[[#This Row],[Producto]],Ventas[[#This Row],[Vendedor]], Ventas[[#This Row],[Venta Total]])</f>
        <v>Webcam María 900</v>
      </c>
      <c r="M39" s="4" t="str">
        <f>RIGHT(Ventas[[#This Row],[ID]],3)</f>
        <v>027</v>
      </c>
      <c r="N39" s="4" t="str">
        <f>_xlfn.TEXTJOIN("-", TRUE, DAY(Ventas[[#This Row],[Fecha]]), MONTH(Ventas[[#This Row],[Fecha]]), YEAR(Ventas[[#This Row],[Fecha]]))</f>
        <v>3-3-2026</v>
      </c>
    </row>
    <row r="40" spans="2:14" x14ac:dyDescent="0.3">
      <c r="B40" t="s">
        <v>80</v>
      </c>
      <c r="C40" s="1">
        <v>46098</v>
      </c>
      <c r="D40" t="s">
        <v>18</v>
      </c>
      <c r="E40" t="s">
        <v>19</v>
      </c>
      <c r="F40" t="s">
        <v>11</v>
      </c>
      <c r="G40" t="s">
        <v>12</v>
      </c>
      <c r="H40">
        <v>6</v>
      </c>
      <c r="I40" s="2">
        <v>140</v>
      </c>
      <c r="J40" s="2">
        <f>Ventas[[#This Row],[Cantidad]]*Ventas[[#This Row],[Precio Unitario]]</f>
        <v>840</v>
      </c>
      <c r="K40" t="str">
        <f>IF(Ventas[[#This Row],[Venta Total]]&gt;=2000,"SI","NO")</f>
        <v>NO</v>
      </c>
      <c r="L40" t="str">
        <f>_xlfn.TEXTJOIN(" ",TRUE,Ventas[[#This Row],[Producto]],Ventas[[#This Row],[Vendedor]], Ventas[[#This Row],[Venta Total]])</f>
        <v>Teclado Ana 840</v>
      </c>
      <c r="M40" s="4" t="str">
        <f>RIGHT(Ventas[[#This Row],[ID]],3)</f>
        <v>033</v>
      </c>
      <c r="N40" s="4" t="str">
        <f>_xlfn.TEXTJOIN("-", TRUE, DAY(Ventas[[#This Row],[Fecha]]), MONTH(Ventas[[#This Row],[Fecha]]), YEAR(Ventas[[#This Row],[Fecha]]))</f>
        <v>17-3-2026</v>
      </c>
    </row>
    <row r="41" spans="2:14" x14ac:dyDescent="0.3">
      <c r="B41" t="s">
        <v>60</v>
      </c>
      <c r="C41" s="1">
        <v>46057</v>
      </c>
      <c r="D41" t="s">
        <v>61</v>
      </c>
      <c r="E41" t="s">
        <v>62</v>
      </c>
      <c r="F41" t="s">
        <v>11</v>
      </c>
      <c r="G41" t="s">
        <v>37</v>
      </c>
      <c r="H41">
        <v>15</v>
      </c>
      <c r="I41" s="2">
        <v>48</v>
      </c>
      <c r="J41" s="2">
        <f>Ventas[[#This Row],[Cantidad]]*Ventas[[#This Row],[Precio Unitario]]</f>
        <v>720</v>
      </c>
      <c r="K41" t="str">
        <f>IF(Ventas[[#This Row],[Venta Total]]&gt;=2000,"SI","NO")</f>
        <v>NO</v>
      </c>
      <c r="L41" t="str">
        <f>_xlfn.TEXTJOIN(" ",TRUE,Ventas[[#This Row],[Producto]],Ventas[[#This Row],[Vendedor]], Ventas[[#This Row],[Venta Total]])</f>
        <v>Memoria USB Valeria 720</v>
      </c>
      <c r="M41" s="4" t="str">
        <f>RIGHT(Ventas[[#This Row],[ID]],3)</f>
        <v>015</v>
      </c>
      <c r="N41" s="4" t="str">
        <f>_xlfn.TEXTJOIN("-", TRUE, DAY(Ventas[[#This Row],[Fecha]]), MONTH(Ventas[[#This Row],[Fecha]]), YEAR(Ventas[[#This Row],[Fecha]]))</f>
        <v>4-2-2026</v>
      </c>
    </row>
    <row r="42" spans="2:14" x14ac:dyDescent="0.3">
      <c r="B42" t="s">
        <v>17</v>
      </c>
      <c r="C42" s="1">
        <v>46030</v>
      </c>
      <c r="D42" t="s">
        <v>18</v>
      </c>
      <c r="E42" t="s">
        <v>19</v>
      </c>
      <c r="F42" t="s">
        <v>11</v>
      </c>
      <c r="G42" t="s">
        <v>20</v>
      </c>
      <c r="H42">
        <v>5</v>
      </c>
      <c r="I42" s="2">
        <v>140</v>
      </c>
      <c r="J42" s="2">
        <f>Ventas[[#This Row],[Cantidad]]*Ventas[[#This Row],[Precio Unitario]]</f>
        <v>700</v>
      </c>
      <c r="K42" t="str">
        <f>IF(Ventas[[#This Row],[Venta Total]]&gt;=2000,"SI","NO")</f>
        <v>NO</v>
      </c>
      <c r="L42" t="str">
        <f>_xlfn.TEXTJOIN(" ",TRUE,Ventas[[#This Row],[Producto]],Ventas[[#This Row],[Vendedor]], Ventas[[#This Row],[Venta Total]])</f>
        <v>Teclado María 700</v>
      </c>
      <c r="M42" s="4" t="str">
        <f>RIGHT(Ventas[[#This Row],[ID]],3)</f>
        <v>003</v>
      </c>
      <c r="N42" s="4" t="str">
        <f>_xlfn.TEXTJOIN("-", TRUE, DAY(Ventas[[#This Row],[Fecha]]), MONTH(Ventas[[#This Row],[Fecha]]), YEAR(Ventas[[#This Row],[Fecha]]))</f>
        <v>8-1-2026</v>
      </c>
    </row>
    <row r="43" spans="2:14" x14ac:dyDescent="0.3">
      <c r="B43" t="s">
        <v>95</v>
      </c>
      <c r="C43" s="1">
        <v>46134</v>
      </c>
      <c r="D43" t="s">
        <v>18</v>
      </c>
      <c r="E43" t="s">
        <v>19</v>
      </c>
      <c r="F43" t="s">
        <v>11</v>
      </c>
      <c r="G43" t="s">
        <v>41</v>
      </c>
      <c r="H43">
        <v>5</v>
      </c>
      <c r="I43" s="2">
        <v>140</v>
      </c>
      <c r="J43" s="2">
        <f>Ventas[[#This Row],[Cantidad]]*Ventas[[#This Row],[Precio Unitario]]</f>
        <v>700</v>
      </c>
      <c r="K43" t="str">
        <f>IF(Ventas[[#This Row],[Venta Total]]&gt;=2000,"SI","NO")</f>
        <v>NO</v>
      </c>
      <c r="L43" t="str">
        <f>_xlfn.TEXTJOIN(" ",TRUE,Ventas[[#This Row],[Producto]],Ventas[[#This Row],[Vendedor]], Ventas[[#This Row],[Venta Total]])</f>
        <v>Teclado Jorge 700</v>
      </c>
      <c r="M43" s="4" t="str">
        <f>RIGHT(Ventas[[#This Row],[ID]],3)</f>
        <v>048</v>
      </c>
      <c r="N43" s="4" t="str">
        <f>_xlfn.TEXTJOIN("-", TRUE, DAY(Ventas[[#This Row],[Fecha]]), MONTH(Ventas[[#This Row],[Fecha]]), YEAR(Ventas[[#This Row],[Fecha]]))</f>
        <v>22-4-2026</v>
      </c>
    </row>
    <row r="44" spans="2:14" x14ac:dyDescent="0.3">
      <c r="B44" t="s">
        <v>65</v>
      </c>
      <c r="C44" s="1">
        <v>46064</v>
      </c>
      <c r="D44" t="s">
        <v>18</v>
      </c>
      <c r="E44" t="s">
        <v>19</v>
      </c>
      <c r="F44" t="s">
        <v>11</v>
      </c>
      <c r="G44" t="s">
        <v>16</v>
      </c>
      <c r="H44">
        <v>4</v>
      </c>
      <c r="I44" s="2">
        <v>140</v>
      </c>
      <c r="J44" s="2">
        <f>Ventas[[#This Row],[Cantidad]]*Ventas[[#This Row],[Precio Unitario]]</f>
        <v>560</v>
      </c>
      <c r="K44" t="str">
        <f>IF(Ventas[[#This Row],[Venta Total]]&gt;=2000,"SI","NO")</f>
        <v>NO</v>
      </c>
      <c r="L44" t="str">
        <f>_xlfn.TEXTJOIN(" ",TRUE,Ventas[[#This Row],[Producto]],Ventas[[#This Row],[Vendedor]], Ventas[[#This Row],[Venta Total]])</f>
        <v>Teclado Carlos 560</v>
      </c>
      <c r="M44" s="4" t="str">
        <f>RIGHT(Ventas[[#This Row],[ID]],3)</f>
        <v>018</v>
      </c>
      <c r="N44" s="4" t="str">
        <f>_xlfn.TEXTJOIN("-", TRUE, DAY(Ventas[[#This Row],[Fecha]]), MONTH(Ventas[[#This Row],[Fecha]]), YEAR(Ventas[[#This Row],[Fecha]]))</f>
        <v>11-2-2026</v>
      </c>
    </row>
    <row r="45" spans="2:14" x14ac:dyDescent="0.3">
      <c r="B45" t="s">
        <v>79</v>
      </c>
      <c r="C45" s="1">
        <v>46096</v>
      </c>
      <c r="D45" t="s">
        <v>14</v>
      </c>
      <c r="E45" t="s">
        <v>15</v>
      </c>
      <c r="F45" t="s">
        <v>11</v>
      </c>
      <c r="G45" t="s">
        <v>41</v>
      </c>
      <c r="H45">
        <v>10</v>
      </c>
      <c r="I45" s="2">
        <v>55</v>
      </c>
      <c r="J45" s="2">
        <f>Ventas[[#This Row],[Cantidad]]*Ventas[[#This Row],[Precio Unitario]]</f>
        <v>550</v>
      </c>
      <c r="K45" t="str">
        <f>IF(Ventas[[#This Row],[Venta Total]]&gt;=2000,"SI","NO")</f>
        <v>NO</v>
      </c>
      <c r="L45" t="str">
        <f>_xlfn.TEXTJOIN(" ",TRUE,Ventas[[#This Row],[Producto]],Ventas[[#This Row],[Vendedor]], Ventas[[#This Row],[Venta Total]])</f>
        <v>Mouse Jorge 550</v>
      </c>
      <c r="M45" s="4" t="str">
        <f>RIGHT(Ventas[[#This Row],[ID]],3)</f>
        <v>032</v>
      </c>
      <c r="N45" s="4" t="str">
        <f>_xlfn.TEXTJOIN("-", TRUE, DAY(Ventas[[#This Row],[Fecha]]), MONTH(Ventas[[#This Row],[Fecha]]), YEAR(Ventas[[#This Row],[Fecha]]))</f>
        <v>15-3-2026</v>
      </c>
    </row>
    <row r="46" spans="2:14" x14ac:dyDescent="0.3">
      <c r="B46" t="s">
        <v>94</v>
      </c>
      <c r="C46" s="1">
        <v>46131</v>
      </c>
      <c r="D46" t="s">
        <v>14</v>
      </c>
      <c r="E46" t="s">
        <v>15</v>
      </c>
      <c r="F46" t="s">
        <v>11</v>
      </c>
      <c r="G46" t="s">
        <v>37</v>
      </c>
      <c r="H46">
        <v>9</v>
      </c>
      <c r="I46" s="2">
        <v>55</v>
      </c>
      <c r="J46" s="2">
        <f>Ventas[[#This Row],[Cantidad]]*Ventas[[#This Row],[Precio Unitario]]</f>
        <v>495</v>
      </c>
      <c r="K46" t="str">
        <f>IF(Ventas[[#This Row],[Venta Total]]&gt;=2000,"SI","NO")</f>
        <v>NO</v>
      </c>
      <c r="L46" t="str">
        <f>_xlfn.TEXTJOIN(" ",TRUE,Ventas[[#This Row],[Producto]],Ventas[[#This Row],[Vendedor]], Ventas[[#This Row],[Venta Total]])</f>
        <v>Mouse Valeria 495</v>
      </c>
      <c r="M46" s="4" t="str">
        <f>RIGHT(Ventas[[#This Row],[ID]],3)</f>
        <v>047</v>
      </c>
      <c r="N46" s="4" t="str">
        <f>_xlfn.TEXTJOIN("-", TRUE, DAY(Ventas[[#This Row],[Fecha]]), MONTH(Ventas[[#This Row],[Fecha]]), YEAR(Ventas[[#This Row],[Fecha]]))</f>
        <v>19-4-2026</v>
      </c>
    </row>
    <row r="47" spans="2:14" x14ac:dyDescent="0.3">
      <c r="B47" t="s">
        <v>13</v>
      </c>
      <c r="C47" s="1">
        <v>46028</v>
      </c>
      <c r="D47" t="s">
        <v>14</v>
      </c>
      <c r="E47" t="s">
        <v>15</v>
      </c>
      <c r="F47" t="s">
        <v>11</v>
      </c>
      <c r="G47" t="s">
        <v>16</v>
      </c>
      <c r="H47">
        <v>8</v>
      </c>
      <c r="I47" s="2">
        <v>55</v>
      </c>
      <c r="J47" s="2">
        <f>Ventas[[#This Row],[Cantidad]]*Ventas[[#This Row],[Precio Unitario]]</f>
        <v>440</v>
      </c>
      <c r="K47" t="str">
        <f>IF(Ventas[[#This Row],[Venta Total]]&gt;=2000,"SI","NO")</f>
        <v>NO</v>
      </c>
      <c r="L47" t="str">
        <f>_xlfn.TEXTJOIN(" ",TRUE,Ventas[[#This Row],[Producto]],Ventas[[#This Row],[Vendedor]], Ventas[[#This Row],[Venta Total]])</f>
        <v>Mouse Carlos 440</v>
      </c>
      <c r="M47" s="4" t="str">
        <f>RIGHT(Ventas[[#This Row],[ID]],3)</f>
        <v>002</v>
      </c>
      <c r="N47" s="4" t="str">
        <f>_xlfn.TEXTJOIN("-", TRUE, DAY(Ventas[[#This Row],[Fecha]]), MONTH(Ventas[[#This Row],[Fecha]]), YEAR(Ventas[[#This Row],[Fecha]]))</f>
        <v>6-1-2026</v>
      </c>
    </row>
    <row r="48" spans="2:14" x14ac:dyDescent="0.3">
      <c r="B48" t="s">
        <v>84</v>
      </c>
      <c r="C48" s="1">
        <v>46108</v>
      </c>
      <c r="D48" t="s">
        <v>35</v>
      </c>
      <c r="E48" t="s">
        <v>36</v>
      </c>
      <c r="F48" t="s">
        <v>28</v>
      </c>
      <c r="G48" t="s">
        <v>29</v>
      </c>
      <c r="H48">
        <v>40</v>
      </c>
      <c r="I48" s="2">
        <v>9</v>
      </c>
      <c r="J48" s="2">
        <f>Ventas[[#This Row],[Cantidad]]*Ventas[[#This Row],[Precio Unitario]]</f>
        <v>360</v>
      </c>
      <c r="K48" t="str">
        <f>IF(Ventas[[#This Row],[Venta Total]]&gt;=2000,"SI","NO")</f>
        <v>NO</v>
      </c>
      <c r="L48" t="str">
        <f>_xlfn.TEXTJOIN(" ",TRUE,Ventas[[#This Row],[Producto]],Ventas[[#This Row],[Vendedor]], Ventas[[#This Row],[Venta Total]])</f>
        <v>Cuaderno Sofía 360</v>
      </c>
      <c r="M48" s="4" t="str">
        <f>RIGHT(Ventas[[#This Row],[ID]],3)</f>
        <v>037</v>
      </c>
      <c r="N48" s="4" t="str">
        <f>_xlfn.TEXTJOIN("-", TRUE, DAY(Ventas[[#This Row],[Fecha]]), MONTH(Ventas[[#This Row],[Fecha]]), YEAR(Ventas[[#This Row],[Fecha]]))</f>
        <v>27-3-2026</v>
      </c>
    </row>
    <row r="49" spans="2:14" x14ac:dyDescent="0.3">
      <c r="B49" t="s">
        <v>64</v>
      </c>
      <c r="C49" s="1">
        <v>46062</v>
      </c>
      <c r="D49" t="s">
        <v>14</v>
      </c>
      <c r="E49" t="s">
        <v>15</v>
      </c>
      <c r="F49" t="s">
        <v>11</v>
      </c>
      <c r="G49" t="s">
        <v>12</v>
      </c>
      <c r="H49">
        <v>6</v>
      </c>
      <c r="I49" s="2">
        <v>55</v>
      </c>
      <c r="J49" s="2">
        <f>Ventas[[#This Row],[Cantidad]]*Ventas[[#This Row],[Precio Unitario]]</f>
        <v>330</v>
      </c>
      <c r="K49" t="str">
        <f>IF(Ventas[[#This Row],[Venta Total]]&gt;=2000,"SI","NO")</f>
        <v>NO</v>
      </c>
      <c r="L49" t="str">
        <f>_xlfn.TEXTJOIN(" ",TRUE,Ventas[[#This Row],[Producto]],Ventas[[#This Row],[Vendedor]], Ventas[[#This Row],[Venta Total]])</f>
        <v>Mouse Ana 330</v>
      </c>
      <c r="M49" s="4" t="str">
        <f>RIGHT(Ventas[[#This Row],[ID]],3)</f>
        <v>017</v>
      </c>
      <c r="N49" s="4" t="str">
        <f>_xlfn.TEXTJOIN("-", TRUE, DAY(Ventas[[#This Row],[Fecha]]), MONTH(Ventas[[#This Row],[Fecha]]), YEAR(Ventas[[#This Row],[Fecha]]))</f>
        <v>9-2-2026</v>
      </c>
    </row>
    <row r="50" spans="2:14" x14ac:dyDescent="0.3">
      <c r="B50" t="s">
        <v>85</v>
      </c>
      <c r="C50" s="1">
        <v>46110</v>
      </c>
      <c r="D50" t="s">
        <v>39</v>
      </c>
      <c r="E50" t="s">
        <v>40</v>
      </c>
      <c r="F50" t="s">
        <v>28</v>
      </c>
      <c r="G50" t="s">
        <v>33</v>
      </c>
      <c r="H50">
        <v>150</v>
      </c>
      <c r="I50" s="2">
        <v>2</v>
      </c>
      <c r="J50" s="2">
        <f>Ventas[[#This Row],[Cantidad]]*Ventas[[#This Row],[Precio Unitario]]</f>
        <v>300</v>
      </c>
      <c r="K50" t="str">
        <f>IF(Ventas[[#This Row],[Venta Total]]&gt;=2000,"SI","NO")</f>
        <v>NO</v>
      </c>
      <c r="L50" t="str">
        <f>_xlfn.TEXTJOIN(" ",TRUE,Ventas[[#This Row],[Producto]],Ventas[[#This Row],[Vendedor]], Ventas[[#This Row],[Venta Total]])</f>
        <v>Bolígrafo Pedro 300</v>
      </c>
      <c r="M50" s="4" t="str">
        <f>RIGHT(Ventas[[#This Row],[ID]],3)</f>
        <v>038</v>
      </c>
      <c r="N50" s="4" t="str">
        <f>_xlfn.TEXTJOIN("-", TRUE, DAY(Ventas[[#This Row],[Fecha]]), MONTH(Ventas[[#This Row],[Fecha]]), YEAR(Ventas[[#This Row],[Fecha]]))</f>
        <v>29-3-2026</v>
      </c>
    </row>
    <row r="51" spans="2:14" x14ac:dyDescent="0.3">
      <c r="B51" t="s">
        <v>34</v>
      </c>
      <c r="C51" s="1">
        <v>46037</v>
      </c>
      <c r="D51" t="s">
        <v>35</v>
      </c>
      <c r="E51" t="s">
        <v>36</v>
      </c>
      <c r="F51" t="s">
        <v>28</v>
      </c>
      <c r="G51" t="s">
        <v>37</v>
      </c>
      <c r="H51">
        <v>30</v>
      </c>
      <c r="I51" s="2">
        <v>9</v>
      </c>
      <c r="J51" s="2">
        <f>Ventas[[#This Row],[Cantidad]]*Ventas[[#This Row],[Precio Unitario]]</f>
        <v>270</v>
      </c>
      <c r="K51" t="str">
        <f>IF(Ventas[[#This Row],[Venta Total]]&gt;=2000,"SI","NO")</f>
        <v>NO</v>
      </c>
      <c r="L51" t="str">
        <f>_xlfn.TEXTJOIN(" ",TRUE,Ventas[[#This Row],[Producto]],Ventas[[#This Row],[Vendedor]], Ventas[[#This Row],[Venta Total]])</f>
        <v>Cuaderno Valeria 270</v>
      </c>
      <c r="M51" s="4" t="str">
        <f>RIGHT(Ventas[[#This Row],[ID]],3)</f>
        <v>007</v>
      </c>
      <c r="N51" s="4" t="str">
        <f>_xlfn.TEXTJOIN("-", TRUE, DAY(Ventas[[#This Row],[Fecha]]), MONTH(Ventas[[#This Row],[Fecha]]), YEAR(Ventas[[#This Row],[Fecha]]))</f>
        <v>15-1-2026</v>
      </c>
    </row>
    <row r="52" spans="2:14" x14ac:dyDescent="0.3">
      <c r="B52" t="s">
        <v>70</v>
      </c>
      <c r="C52" s="1">
        <v>46075</v>
      </c>
      <c r="D52" t="s">
        <v>39</v>
      </c>
      <c r="E52" t="s">
        <v>40</v>
      </c>
      <c r="F52" t="s">
        <v>28</v>
      </c>
      <c r="G52" t="s">
        <v>37</v>
      </c>
      <c r="H52">
        <v>120</v>
      </c>
      <c r="I52" s="2">
        <v>2</v>
      </c>
      <c r="J52" s="2">
        <f>Ventas[[#This Row],[Cantidad]]*Ventas[[#This Row],[Precio Unitario]]</f>
        <v>240</v>
      </c>
      <c r="K52" t="str">
        <f>IF(Ventas[[#This Row],[Venta Total]]&gt;=2000,"SI","NO")</f>
        <v>NO</v>
      </c>
      <c r="L52" t="str">
        <f>_xlfn.TEXTJOIN(" ",TRUE,Ventas[[#This Row],[Producto]],Ventas[[#This Row],[Vendedor]], Ventas[[#This Row],[Venta Total]])</f>
        <v>Bolígrafo Valeria 240</v>
      </c>
      <c r="M52" s="4" t="str">
        <f>RIGHT(Ventas[[#This Row],[ID]],3)</f>
        <v>023</v>
      </c>
      <c r="N52" s="4" t="str">
        <f>_xlfn.TEXTJOIN("-", TRUE, DAY(Ventas[[#This Row],[Fecha]]), MONTH(Ventas[[#This Row],[Fecha]]), YEAR(Ventas[[#This Row],[Fecha]]))</f>
        <v>22-2-2026</v>
      </c>
    </row>
    <row r="53" spans="2:14" x14ac:dyDescent="0.3">
      <c r="B53" t="s">
        <v>69</v>
      </c>
      <c r="C53" s="1">
        <v>46073</v>
      </c>
      <c r="D53" t="s">
        <v>35</v>
      </c>
      <c r="E53" t="s">
        <v>36</v>
      </c>
      <c r="F53" t="s">
        <v>28</v>
      </c>
      <c r="G53" t="s">
        <v>33</v>
      </c>
      <c r="H53">
        <v>25</v>
      </c>
      <c r="I53" s="2">
        <v>9</v>
      </c>
      <c r="J53" s="2">
        <f>Ventas[[#This Row],[Cantidad]]*Ventas[[#This Row],[Precio Unitario]]</f>
        <v>225</v>
      </c>
      <c r="K53" t="str">
        <f>IF(Ventas[[#This Row],[Venta Total]]&gt;=2000,"SI","NO")</f>
        <v>NO</v>
      </c>
      <c r="L53" t="str">
        <f>_xlfn.TEXTJOIN(" ",TRUE,Ventas[[#This Row],[Producto]],Ventas[[#This Row],[Vendedor]], Ventas[[#This Row],[Venta Total]])</f>
        <v>Cuaderno Pedro 225</v>
      </c>
      <c r="M53" s="4" t="str">
        <f>RIGHT(Ventas[[#This Row],[ID]],3)</f>
        <v>022</v>
      </c>
      <c r="N53" s="4" t="str">
        <f>_xlfn.TEXTJOIN("-", TRUE, DAY(Ventas[[#This Row],[Fecha]]), MONTH(Ventas[[#This Row],[Fecha]]), YEAR(Ventas[[#This Row],[Fecha]]))</f>
        <v>20-2-2026</v>
      </c>
    </row>
    <row r="54" spans="2:14" x14ac:dyDescent="0.3">
      <c r="B54" t="s">
        <v>38</v>
      </c>
      <c r="C54" s="1">
        <v>46040</v>
      </c>
      <c r="D54" t="s">
        <v>39</v>
      </c>
      <c r="E54" t="s">
        <v>40</v>
      </c>
      <c r="F54" t="s">
        <v>28</v>
      </c>
      <c r="G54" t="s">
        <v>41</v>
      </c>
      <c r="H54">
        <v>100</v>
      </c>
      <c r="I54" s="2">
        <v>2</v>
      </c>
      <c r="J54" s="2">
        <f>Ventas[[#This Row],[Cantidad]]*Ventas[[#This Row],[Precio Unitario]]</f>
        <v>200</v>
      </c>
      <c r="K54" t="str">
        <f>IF(Ventas[[#This Row],[Venta Total]]&gt;=2000,"SI","NO")</f>
        <v>NO</v>
      </c>
      <c r="L54" t="str">
        <f>_xlfn.TEXTJOIN(" ",TRUE,Ventas[[#This Row],[Producto]],Ventas[[#This Row],[Vendedor]], Ventas[[#This Row],[Venta Total]])</f>
        <v>Bolígrafo Jorge 200</v>
      </c>
      <c r="M54" s="4" t="str">
        <f>RIGHT(Ventas[[#This Row],[ID]],3)</f>
        <v>008</v>
      </c>
      <c r="N54" s="4" t="str">
        <f>_xlfn.TEXTJOIN("-", TRUE, DAY(Ventas[[#This Row],[Fecha]]), MONTH(Ventas[[#This Row],[Fecha]]), YEAR(Ventas[[#This Row],[Fecha]]))</f>
        <v>18-1-2026</v>
      </c>
    </row>
    <row r="56" spans="2:14" x14ac:dyDescent="0.3">
      <c r="I56" t="s">
        <v>99</v>
      </c>
      <c r="J56" s="2">
        <f>SUM(Ventas[Venta Total])</f>
        <v>98780</v>
      </c>
    </row>
    <row r="57" spans="2:14" x14ac:dyDescent="0.3">
      <c r="I57" t="s">
        <v>100</v>
      </c>
      <c r="J57" s="3">
        <f>AVERAGE(Ventas[Venta Total])</f>
        <v>1975.6</v>
      </c>
    </row>
    <row r="58" spans="2:14" x14ac:dyDescent="0.3">
      <c r="I58" t="s">
        <v>101</v>
      </c>
      <c r="J58" s="3">
        <f>MIN(Ventas[Precio Unitario])</f>
        <v>2</v>
      </c>
    </row>
    <row r="59" spans="2:14" x14ac:dyDescent="0.3">
      <c r="I59" t="s">
        <v>102</v>
      </c>
      <c r="J59" s="3">
        <f>MAX(Ventas[Precio Unitario])</f>
        <v>3500</v>
      </c>
    </row>
    <row r="60" spans="2:14" x14ac:dyDescent="0.3">
      <c r="I60" t="s">
        <v>103</v>
      </c>
      <c r="J60">
        <f>COUNTA(Ventas[ID])</f>
        <v>50</v>
      </c>
    </row>
  </sheetData>
  <conditionalFormatting sqref="J5:J54">
    <cfRule type="cellIs" dxfId="2" priority="1" operator="greaterThanOrEqual">
      <formula>2000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2026-06-17T23:06:49Z</dcterms:modified>
</cp:coreProperties>
</file>