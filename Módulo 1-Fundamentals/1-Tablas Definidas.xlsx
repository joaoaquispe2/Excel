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ente\Desktop\Estudio\Excel\Módulo 1-Fundamentos\"/>
    </mc:Choice>
  </mc:AlternateContent>
  <xr:revisionPtr revIDLastSave="0" documentId="13_ncr:1_{1528F006-816C-4282-8237-DB279D6EF7D6}" xr6:coauthVersionLast="47" xr6:coauthVersionMax="47" xr10:uidLastSave="{00000000-0000-0000-0000-000000000000}"/>
  <bookViews>
    <workbookView xWindow="-108" yWindow="-108" windowWidth="23256" windowHeight="12456" tabRatio="591" activeTab="5" xr2:uid="{8E26D8DD-92CC-4E38-BD83-2117CDB88D5D}"/>
  </bookViews>
  <sheets>
    <sheet name="Introducción" sheetId="1" r:id="rId1"/>
    <sheet name="Diseño" sheetId="2" r:id="rId2"/>
    <sheet name="Ordenar y Filtrar" sheetId="3" r:id="rId3"/>
    <sheet name="Columnas Calculadas" sheetId="4" r:id="rId4"/>
    <sheet name="Totales y Subtotales" sheetId="7" r:id="rId5"/>
    <sheet name="Datos Consolidados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4" i="8" l="1"/>
  <c r="K8" i="8" s="1"/>
  <c r="K5" i="8"/>
  <c r="K6" i="8"/>
  <c r="K7" i="8"/>
  <c r="E27" i="7"/>
  <c r="F27" i="7"/>
  <c r="D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6" i="7"/>
  <c r="H5" i="7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G26" i="2"/>
  <c r="H27" i="7" l="1"/>
</calcChain>
</file>

<file path=xl/sharedStrings.xml><?xml version="1.0" encoding="utf-8"?>
<sst xmlns="http://schemas.openxmlformats.org/spreadsheetml/2006/main" count="410" uniqueCount="58">
  <si>
    <t>País</t>
  </si>
  <si>
    <t>Producto</t>
  </si>
  <si>
    <t>Ventas Enero</t>
  </si>
  <si>
    <t>Gastos</t>
  </si>
  <si>
    <t>Descuentos</t>
  </si>
  <si>
    <t>Tipo Mercado</t>
  </si>
  <si>
    <t>México</t>
  </si>
  <si>
    <t>Laptop</t>
  </si>
  <si>
    <t>Minorista</t>
  </si>
  <si>
    <t>Colombia</t>
  </si>
  <si>
    <t>Smartphone</t>
  </si>
  <si>
    <t>Mayorista</t>
  </si>
  <si>
    <t>Perú</t>
  </si>
  <si>
    <t>Tablet</t>
  </si>
  <si>
    <t>Argentina</t>
  </si>
  <si>
    <t>Monitor</t>
  </si>
  <si>
    <t>Corporativo</t>
  </si>
  <si>
    <t>Chile</t>
  </si>
  <si>
    <t>Teclado</t>
  </si>
  <si>
    <t>Brasil</t>
  </si>
  <si>
    <t>Auriculares</t>
  </si>
  <si>
    <t>Online</t>
  </si>
  <si>
    <t>Ecuador</t>
  </si>
  <si>
    <t>Mouse</t>
  </si>
  <si>
    <t>Venezuela</t>
  </si>
  <si>
    <t>Impresora</t>
  </si>
  <si>
    <t>Bolivia</t>
  </si>
  <si>
    <t>Paraguay</t>
  </si>
  <si>
    <t>Uruguay</t>
  </si>
  <si>
    <t>Las tablas permiten organizar los datos de manera más efectiva, siguiendo un mismo formato, formando parte de un grupo y permitiendo filtrar y ordenar los datos</t>
  </si>
  <si>
    <t>Puedes darle un nombre a la Tabla, con este podrás identificarla más fácilmente</t>
  </si>
  <si>
    <t>Puedes añadir registros de la Tabla más facilmente escribiendo nuevos datos debajo del último registro</t>
  </si>
  <si>
    <t>Total</t>
  </si>
  <si>
    <t>También puedes cambiar algunas secciones de la Tabla, como el encabezado, totales, primera y última columna, etc</t>
  </si>
  <si>
    <t>Puedes añadir nuevas columnas a la Tabla escribiendo el nombre de la columna de manera contigua a la última columna</t>
  </si>
  <si>
    <t>Para ordenar la Tabla puedes dar clic en botón de filtro y seleccionar el criterio de Orden</t>
  </si>
  <si>
    <t>Para el filtrado de igual manera das clic en el botón de filtro y seleccionas las categorías que deseas ver</t>
  </si>
  <si>
    <t>Puedes generar tus propios filtros numéricos: Mayor que, igual que, entre dos valores, mayor al promedio, etc</t>
  </si>
  <si>
    <t xml:space="preserve">Argentina </t>
  </si>
  <si>
    <t>Puedes generar también tus propios ordenamientos según varios criterios, estos tendrán un orden de prioridad</t>
  </si>
  <si>
    <t>Monto Descuento</t>
  </si>
  <si>
    <t>Las referencias ahora no son casillas, sino se nombran como la columna a la que haces referencia</t>
  </si>
  <si>
    <t>Puedes usar todas las funciones conocidas dentro de Excel</t>
  </si>
  <si>
    <t>Las Columnas Calculadas surgen cuando realizas funciones dentro de una Tabla Definida</t>
  </si>
  <si>
    <t>Los Totales son valores numéricos que representan una operación entre los datos de una columna</t>
  </si>
  <si>
    <t>Puedes seleccionar la operación que deseas que se realice dando clic en la flecha al lado de la casilla en la fila Total</t>
  </si>
  <si>
    <t>Puedes combinar los Totales con los filtros para observar los Subtotales que cumplan los filtros definidos</t>
  </si>
  <si>
    <t xml:space="preserve">Pais </t>
  </si>
  <si>
    <t>Peru</t>
  </si>
  <si>
    <t>Mexico</t>
  </si>
  <si>
    <t>Ventas Febrero</t>
  </si>
  <si>
    <t>Ventas Marzo</t>
  </si>
  <si>
    <t>Total País</t>
  </si>
  <si>
    <t>Cuando tienes varias fuentes que quieres unir en un solo registro para luego poder crear una Tabla, puedes usar los Datos Consolidados</t>
  </si>
  <si>
    <t>Puedes cambiar el estilo de la tabla y los colores desde la pestaña Table Design</t>
  </si>
  <si>
    <t>Para crear una tabla puedes usar Ctrl + T o hacerlo desde la pestaña Insert-Table</t>
  </si>
  <si>
    <t>Puedes transformar la Tabla a un rango de datos desde la pestaña Table Design-Convert to Range</t>
  </si>
  <si>
    <t>Desde la pestaña Data-Consolidate, puedes usar esta opción y seleccionar los rangos que quieres consolidar, luego generas el registro con los datos unidos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</si>
</sst>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XDR&quot;* #,##0.00_-;\-&quot;XDR&quot;* #,##0.00_-;_-&quot;XDR&quot;* &quot;-&quot;??_-;_-@_-"/>
    <numFmt numFmtId="164" formatCode="_-[$S/-280A]\ * #,##0.00_-;\-[$S/-280A]\ * #,##0.00_-;_-[$S/-280A]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164" fontId="0" fillId="0" borderId="0" xfId="0" applyNumberFormat="1"/>
    <xf numFmtId="164" fontId="0" fillId="0" borderId="0" xfId="1" applyNumberFormat="1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NumberFormat="1"/>
    <xf numFmtId="0" fontId="3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2">
    <cellStyle name="Currency" xfId="1" builtinId="4"/>
    <cellStyle name="Normal" xfId="0" builtinId="0"/>
  </cellStyles>
  <dxfs count="35">
    <dxf>
      <numFmt numFmtId="164" formatCode="_-[$S/-280A]\ * #,##0.00_-;\-[$S/-280A]\ * #,##0.00_-;_-[$S/-280A]\ * &quot;-&quot;??_-;_-@_-"/>
    </dxf>
    <dxf>
      <numFmt numFmtId="164" formatCode="_-[$S/-280A]\ * #,##0.00_-;\-[$S/-280A]\ * #,##0.00_-;_-[$S/-280A]\ * &quot;-&quot;??_-;_-@_-"/>
    </dxf>
    <dxf>
      <numFmt numFmtId="164" formatCode="_-[$S/-280A]\ * #,##0.00_-;\-[$S/-280A]\ * #,##0.00_-;_-[$S/-280A]\ * &quot;-&quot;??_-;_-@_-"/>
    </dxf>
    <dxf>
      <numFmt numFmtId="164" formatCode="_-[$S/-280A]\ * #,##0.00_-;\-[$S/-280A]\ * #,##0.00_-;_-[$S/-280A]\ * &quot;-&quot;??_-;_-@_-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numFmt numFmtId="164" formatCode="_-[$S/-280A]\ * #,##0.00_-;\-[$S/-280A]\ * #,##0.00_-;_-[$S/-280A]\ * &quot;-&quot;??_-;_-@_-"/>
    </dxf>
    <dxf>
      <numFmt numFmtId="164" formatCode="_-[$S/-280A]\ * #,##0.00_-;\-[$S/-280A]\ * #,##0.00_-;_-[$S/-280A]\ * &quot;-&quot;??_-;_-@_-"/>
    </dxf>
    <dxf>
      <numFmt numFmtId="164" formatCode="_-[$S/-280A]\ * #,##0.00_-;\-[$S/-280A]\ * #,##0.00_-;_-[$S/-280A]\ * &quot;-&quot;??_-;_-@_-"/>
    </dxf>
    <dxf>
      <numFmt numFmtId="164" formatCode="_-[$S/-280A]\ * #,##0.00_-;\-[$S/-280A]\ * #,##0.00_-;_-[$S/-280A]\ * &quot;-&quot;??_-;_-@_-"/>
    </dxf>
    <dxf>
      <numFmt numFmtId="164" formatCode="_-[$S/-280A]\ * #,##0.00_-;\-[$S/-280A]\ * #,##0.00_-;_-[$S/-280A]\ * &quot;-&quot;??_-;_-@_-"/>
    </dxf>
    <dxf>
      <numFmt numFmtId="164" formatCode="_-[$S/-280A]\ * #,##0.00_-;\-[$S/-280A]\ * #,##0.00_-;_-[$S/-280A]\ * &quot;-&quot;??_-;_-@_-"/>
    </dxf>
    <dxf>
      <numFmt numFmtId="164" formatCode="_-[$S/-280A]\ * #,##0.00_-;\-[$S/-280A]\ * #,##0.00_-;_-[$S/-280A]\ * &quot;-&quot;??_-;_-@_-"/>
    </dxf>
    <dxf>
      <numFmt numFmtId="164" formatCode="_-[$S/-280A]\ * #,##0.00_-;\-[$S/-280A]\ * #,##0.00_-;_-[$S/-280A]\ * &quot;-&quot;??_-;_-@_-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numFmt numFmtId="164" formatCode="_-[$S/-280A]\ * #,##0.00_-;\-[$S/-280A]\ * #,##0.00_-;_-[$S/-280A]\ * &quot;-&quot;??_-;_-@_-"/>
    </dxf>
    <dxf>
      <numFmt numFmtId="164" formatCode="_-[$S/-280A]\ * #,##0.00_-;\-[$S/-280A]\ * #,##0.00_-;_-[$S/-280A]\ * &quot;-&quot;??_-;_-@_-"/>
    </dxf>
    <dxf>
      <numFmt numFmtId="0" formatCode="General"/>
    </dxf>
    <dxf>
      <numFmt numFmtId="164" formatCode="_-[$S/-280A]\ * #,##0.00_-;\-[$S/-280A]\ * #,##0.00_-;_-[$S/-280A]\ * &quot;-&quot;??_-;_-@_-"/>
    </dxf>
    <dxf>
      <numFmt numFmtId="164" formatCode="_-[$S/-280A]\ * #,##0.00_-;\-[$S/-280A]\ * #,##0.00_-;_-[$S/-280A]\ * &quot;-&quot;??_-;_-@_-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numFmt numFmtId="164" formatCode="_-[$S/-280A]\ * #,##0.00_-;\-[$S/-280A]\ * #,##0.00_-;_-[$S/-280A]\ * &quot;-&quot;??_-;_-@_-"/>
    </dxf>
    <dxf>
      <numFmt numFmtId="0" formatCode="General"/>
    </dxf>
    <dxf>
      <numFmt numFmtId="164" formatCode="_-[$S/-280A]\ * #,##0.00_-;\-[$S/-280A]\ * #,##0.00_-;_-[$S/-280A]\ * &quot;-&quot;??_-;_-@_-"/>
    </dxf>
    <dxf>
      <numFmt numFmtId="164" formatCode="_-[$S/-280A]\ * #,##0.00_-;\-[$S/-280A]\ * #,##0.00_-;_-[$S/-280A]\ * &quot;-&quot;??_-;_-@_-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numFmt numFmtId="164" formatCode="_-[$S/-280A]\ * #,##0.00_-;\-[$S/-280A]\ * #,##0.00_-;_-[$S/-280A]\ * &quot;-&quot;??_-;_-@_-"/>
    </dxf>
    <dxf>
      <numFmt numFmtId="0" formatCode="General"/>
    </dxf>
    <dxf>
      <numFmt numFmtId="164" formatCode="_-[$S/-280A]\ * #,##0.00_-;\-[$S/-280A]\ * #,##0.00_-;_-[$S/-280A]\ * &quot;-&quot;??_-;_-@_-"/>
    </dxf>
    <dxf>
      <numFmt numFmtId="164" formatCode="_-[$S/-280A]\ * #,##0.00_-;\-[$S/-280A]\ * #,##0.00_-;_-[$S/-280A]\ * &quot;-&quot;??_-;_-@_-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numFmt numFmtId="164" formatCode="_-[$S/-280A]\ * #,##0.00_-;\-[$S/-280A]\ * #,##0.00_-;_-[$S/-280A]\ * &quot;-&quot;??_-;_-@_-"/>
    </dxf>
    <dxf>
      <numFmt numFmtId="0" formatCode="General"/>
    </dxf>
    <dxf>
      <numFmt numFmtId="164" formatCode="_-[$S/-280A]\ * #,##0.00_-;\-[$S/-280A]\ * #,##0.00_-;_-[$S/-280A]\ * &quot;-&quot;??_-;_-@_-"/>
    </dxf>
    <dxf>
      <numFmt numFmtId="164" formatCode="_-[$S/-280A]\ * #,##0.00_-;\-[$S/-280A]\ * #,##0.00_-;_-[$S/-280A]\ * &quot;-&quot;??_-;_-@_-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D20E511-B61D-4295-A7F7-0006229237FD}" name="VentasPorPais" displayName="VentasPorPais" ref="B4:G25" headerRowDxfId="34">
  <autoFilter ref="B4:G25" xr:uid="{8D20E511-B61D-4295-A7F7-0006229237FD}"/>
  <tableColumns count="6">
    <tableColumn id="1" xr3:uid="{840247D1-DE78-47B2-B77B-08C9BEE46158}" name="País" totalsRowLabel="Total"/>
    <tableColumn id="2" xr3:uid="{DDCCD601-1AA8-42BD-AA88-722914713291}" name="Producto"/>
    <tableColumn id="3" xr3:uid="{AA731740-ACAD-4688-81E8-0A75AEE03EF9}" name="Ventas Enero" dataDxfId="33"/>
    <tableColumn id="4" xr3:uid="{C04D9C76-250B-45A2-B24C-32BBF3F9FBDE}" name="Gastos" dataDxfId="32" totalsRowDxfId="31" dataCellStyle="Currency"/>
    <tableColumn id="5" xr3:uid="{00C8379F-6F1E-469E-8D4C-BDD8454C0544}" name="Descuentos" dataDxfId="30"/>
    <tableColumn id="6" xr3:uid="{78EE5393-469B-42A9-85D5-98FF491E4F1B}" name="Tipo Mercado" totalsRowFunction="count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B34DCD4-D6A7-421F-A321-764D2FE8B5AB}" name="VentasPorPais8" displayName="VentasPorPais8" ref="B4:G26" totalsRowCount="1" headerRowDxfId="29">
  <autoFilter ref="B4:G25" xr:uid="{5B34DCD4-D6A7-421F-A321-764D2FE8B5A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634CC4BB-8776-4170-8227-95BDDFA1315E}" name="País" totalsRowLabel="Total"/>
    <tableColumn id="2" xr3:uid="{BDFE4164-38E6-4D86-847C-C41A7EC43168}" name="Producto"/>
    <tableColumn id="3" xr3:uid="{CBD33E43-AE02-4F48-AC6D-E28E8A824AD4}" name="Ventas Enero" dataDxfId="28"/>
    <tableColumn id="4" xr3:uid="{66974C0D-0408-460C-97AC-4C94A4FB3F79}" name="Gastos" dataDxfId="27" totalsRowDxfId="26" dataCellStyle="Currency"/>
    <tableColumn id="5" xr3:uid="{AFF87AAF-87ED-418A-B0BE-8DFB3D53CA20}" name="Descuentos" dataDxfId="25"/>
    <tableColumn id="6" xr3:uid="{83E4C2F6-B3ED-42E6-927A-DDE1A61FCD2E}" name="Tipo Mercado" totalsRowFunction="count"/>
  </tableColumns>
  <tableStyleInfo name="TableStyleMedium9" showFirstColumn="1" showLastColumn="0" showRowStripes="0" showColumnStripes="1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95DE757-55E9-4E9E-BDF4-956086D54EB4}" name="VentasPorPais9" displayName="VentasPorPais9" ref="B4:G26" headerRowDxfId="24">
  <autoFilter ref="B4:G26" xr:uid="{8D20E511-B61D-4295-A7F7-0006229237FD}"/>
  <sortState xmlns:xlrd2="http://schemas.microsoft.com/office/spreadsheetml/2017/richdata2" ref="B5:G26">
    <sortCondition ref="E5:E26"/>
    <sortCondition ref="C5:C26"/>
  </sortState>
  <tableColumns count="6">
    <tableColumn id="1" xr3:uid="{836BDF79-1F72-45EF-A9FF-2C7472565465}" name="País" totalsRowLabel="Total"/>
    <tableColumn id="2" xr3:uid="{4072E8F4-06AB-4137-B327-D5006A140CCA}" name="Producto"/>
    <tableColumn id="3" xr3:uid="{D6485366-585B-4F4D-9F84-69BF9AF3C465}" name="Ventas Enero" dataDxfId="23"/>
    <tableColumn id="4" xr3:uid="{7A205CD6-71BB-481F-83DA-1C314FA9818C}" name="Gastos" dataDxfId="22" totalsRowDxfId="21" dataCellStyle="Currency"/>
    <tableColumn id="5" xr3:uid="{8272EFE8-C4E8-4B1A-BFD9-7F00ED296B69}" name="Descuentos" dataDxfId="20"/>
    <tableColumn id="6" xr3:uid="{1EC42CFD-5930-4B36-9783-AE8AEB08DBE4}" name="Tipo Mercado" totalsRowFunction="count"/>
  </tableColumns>
  <tableStyleInfo name="TableStyleMedium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C1AABC8-1060-4986-9F40-A73A7DDB7F6E}" name="VentasPorPais910" displayName="VentasPorPais910" ref="B4:H26" headerRowDxfId="19">
  <autoFilter ref="B4:H26" xr:uid="{8D20E511-B61D-4295-A7F7-0006229237FD}"/>
  <tableColumns count="7">
    <tableColumn id="1" xr3:uid="{1845B26B-F85A-455A-9FAA-980B3C4AD2E5}" name="País" totalsRowLabel="Total"/>
    <tableColumn id="2" xr3:uid="{B764CF07-66C8-4BCC-9424-08147C74729B}" name="Producto"/>
    <tableColumn id="3" xr3:uid="{7FC0AE8C-41EA-441B-9875-C6D18DDE9C5F}" name="Ventas Enero" dataDxfId="18"/>
    <tableColumn id="4" xr3:uid="{69133696-3A40-4C1E-8951-1DC423304B38}" name="Gastos" dataDxfId="17" totalsRowDxfId="16" dataCellStyle="Currency"/>
    <tableColumn id="5" xr3:uid="{6D1D2A4B-8F05-4225-8312-8740F500E512}" name="Descuentos" dataDxfId="15"/>
    <tableColumn id="6" xr3:uid="{E7D6FC5F-ABDF-4EF4-B696-C0EB97A5CE55}" name="Tipo Mercado" totalsRowFunction="count"/>
    <tableColumn id="7" xr3:uid="{D1B5C1CE-A972-4DE3-85BC-DB404A727030}" name="Monto Descuento" dataDxfId="14">
      <calculatedColumnFormula>VentasPorPais910[[#This Row],[Ventas Enero]]-VentasPorPais910[[#This Row],[Descuentos]]</calculatedColumnFormula>
    </tableColumn>
  </tableColumns>
  <tableStyleInfo name="TableStyleMedium1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DBDB0D3-9A67-4902-A599-D51E7CA3A1E0}" name="VentasPorPais91013" displayName="VentasPorPais91013" ref="B4:H27" totalsRowCount="1" headerRowDxfId="13">
  <autoFilter ref="B4:H26" xr:uid="{8D20E511-B61D-4295-A7F7-0006229237FD}"/>
  <tableColumns count="7">
    <tableColumn id="1" xr3:uid="{CDD57732-74BA-4C62-848A-3393A8D6B04C}" name="País" totalsRowLabel="Total"/>
    <tableColumn id="2" xr3:uid="{21E0A9F3-5380-4623-A7BC-DB8F27C07565}" name="Producto"/>
    <tableColumn id="3" xr3:uid="{E9CE6719-08FC-4184-A90F-5B6271A3ADEE}" name="Ventas Enero" totalsRowFunction="average" dataDxfId="12" totalsRowDxfId="11"/>
    <tableColumn id="4" xr3:uid="{CB165515-EAF7-4397-BA96-43A579C18115}" name="Gastos" totalsRowFunction="average" dataDxfId="10" totalsRowDxfId="9" dataCellStyle="Currency"/>
    <tableColumn id="5" xr3:uid="{2B43225D-CE00-4CB0-99A4-C4D49933CD10}" name="Descuentos" totalsRowFunction="average" dataDxfId="8" totalsRowDxfId="7"/>
    <tableColumn id="6" xr3:uid="{9FF3AA0E-CDE2-43D0-A233-03E93E759A8F}" name="Tipo Mercado"/>
    <tableColumn id="7" xr3:uid="{B7CBB68C-991E-40C1-8588-6CE30A52BE37}" name="Monto Descuento" totalsRowFunction="max" dataDxfId="6" totalsRowDxfId="5">
      <calculatedColumnFormula>VentasPorPais91013[[#This Row],[Ventas Enero]]-VentasPorPais91013[[#This Row],[Descuentos]]</calculatedColumnFormula>
    </tableColumn>
  </tableColumns>
  <tableStyleInfo name="TableStyleMedium1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DDF681-28F3-4BC6-9E73-B329161FD512}" name="Table13" displayName="Table13" ref="F3:K8" totalsRowCount="1" headerRowDxfId="4">
  <autoFilter ref="F3:K7" xr:uid="{47DDF681-28F3-4BC6-9E73-B329161FD512}"/>
  <tableColumns count="6">
    <tableColumn id="1" xr3:uid="{201A3234-AE1D-4DDF-85F4-E1098CEEC6C6}" name="País" totalsRowLabel="Total"/>
    <tableColumn id="2" xr3:uid="{F3CF7537-3770-4951-BE78-E25E413667F0}" name="Producto"/>
    <tableColumn id="3" xr3:uid="{AAF19C37-6DDB-4CEF-BF0A-C31E1F50B707}" name="Ventas Enero" dataDxfId="3" dataCellStyle="Currency"/>
    <tableColumn id="4" xr3:uid="{D97CEA65-7012-440C-AF1C-743FB5FCE288}" name="Ventas Febrero" dataDxfId="2" dataCellStyle="Currency"/>
    <tableColumn id="5" xr3:uid="{F44A51FD-90A4-41D2-A890-4376540341B0}" name="Ventas Marzo" dataDxfId="1" dataCellStyle="Currency"/>
    <tableColumn id="6" xr3:uid="{CC876DCD-4008-4DC9-AFDC-5C6F75F42513}" name="Total País" totalsRowFunction="sum" dataDxfId="0" dataCellStyle="Currency">
      <calculatedColumnFormula>SUM(Table13[[#This Row],[Ventas Enero]:[Ventas Marzo]])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CB06A-D9D0-4FA6-A62B-43244E2AA299}">
  <sheetPr>
    <tabColor theme="9" tint="0.39997558519241921"/>
  </sheetPr>
  <dimension ref="B4:N25"/>
  <sheetViews>
    <sheetView workbookViewId="0">
      <selection activeCell="I22" sqref="I22:N23"/>
    </sheetView>
  </sheetViews>
  <sheetFormatPr defaultRowHeight="14.4" x14ac:dyDescent="0.3"/>
  <cols>
    <col min="2" max="2" width="13.21875" customWidth="1"/>
    <col min="3" max="3" width="17.77734375" customWidth="1"/>
    <col min="4" max="4" width="19" customWidth="1"/>
    <col min="5" max="5" width="17.6640625" customWidth="1"/>
    <col min="6" max="6" width="16.77734375" customWidth="1"/>
    <col min="7" max="7" width="20.77734375" customWidth="1"/>
  </cols>
  <sheetData>
    <row r="4" spans="2:14" ht="15.6" x14ac:dyDescent="0.3">
      <c r="B4" s="3" t="s">
        <v>0</v>
      </c>
      <c r="C4" s="3" t="s">
        <v>1</v>
      </c>
      <c r="D4" s="3" t="s">
        <v>2</v>
      </c>
      <c r="E4" s="3" t="s">
        <v>3</v>
      </c>
      <c r="F4" s="3" t="s">
        <v>4</v>
      </c>
      <c r="G4" s="3" t="s">
        <v>5</v>
      </c>
    </row>
    <row r="5" spans="2:14" ht="14.4" customHeight="1" x14ac:dyDescent="0.3">
      <c r="B5" t="s">
        <v>6</v>
      </c>
      <c r="C5" t="s">
        <v>7</v>
      </c>
      <c r="D5" s="1">
        <v>85000</v>
      </c>
      <c r="E5" s="2">
        <v>42000</v>
      </c>
      <c r="F5" s="1">
        <v>5100</v>
      </c>
      <c r="G5" t="s">
        <v>8</v>
      </c>
      <c r="I5" s="9" t="s">
        <v>29</v>
      </c>
      <c r="J5" s="9"/>
      <c r="K5" s="9"/>
      <c r="L5" s="9"/>
      <c r="M5" s="9"/>
      <c r="N5" s="9"/>
    </row>
    <row r="6" spans="2:14" x14ac:dyDescent="0.3">
      <c r="B6" t="s">
        <v>9</v>
      </c>
      <c r="C6" t="s">
        <v>10</v>
      </c>
      <c r="D6" s="1">
        <v>62000</v>
      </c>
      <c r="E6" s="2">
        <v>28000</v>
      </c>
      <c r="F6" s="1">
        <v>3720</v>
      </c>
      <c r="G6" t="s">
        <v>11</v>
      </c>
      <c r="I6" s="9"/>
      <c r="J6" s="9"/>
      <c r="K6" s="9"/>
      <c r="L6" s="9"/>
      <c r="M6" s="9"/>
      <c r="N6" s="9"/>
    </row>
    <row r="7" spans="2:14" x14ac:dyDescent="0.3">
      <c r="B7" t="s">
        <v>12</v>
      </c>
      <c r="C7" t="s">
        <v>13</v>
      </c>
      <c r="D7" s="1">
        <v>47500</v>
      </c>
      <c r="E7" s="2">
        <v>21000</v>
      </c>
      <c r="F7" s="1">
        <v>2375</v>
      </c>
      <c r="G7" t="s">
        <v>8</v>
      </c>
      <c r="I7" s="9"/>
      <c r="J7" s="9"/>
      <c r="K7" s="9"/>
      <c r="L7" s="9"/>
      <c r="M7" s="9"/>
      <c r="N7" s="9"/>
    </row>
    <row r="8" spans="2:14" x14ac:dyDescent="0.3">
      <c r="B8" t="s">
        <v>14</v>
      </c>
      <c r="C8" t="s">
        <v>15</v>
      </c>
      <c r="D8" s="1">
        <v>91000</v>
      </c>
      <c r="E8" s="2">
        <v>38000</v>
      </c>
      <c r="F8" s="1">
        <v>4550</v>
      </c>
      <c r="G8" t="s">
        <v>16</v>
      </c>
      <c r="I8" s="9"/>
      <c r="J8" s="9"/>
      <c r="K8" s="9"/>
      <c r="L8" s="9"/>
      <c r="M8" s="9"/>
      <c r="N8" s="9"/>
    </row>
    <row r="9" spans="2:14" x14ac:dyDescent="0.3">
      <c r="B9" t="s">
        <v>17</v>
      </c>
      <c r="C9" t="s">
        <v>18</v>
      </c>
      <c r="D9" s="1">
        <v>23000</v>
      </c>
      <c r="E9" s="2">
        <v>9500</v>
      </c>
      <c r="F9" s="1">
        <v>1150</v>
      </c>
      <c r="G9" t="s">
        <v>8</v>
      </c>
    </row>
    <row r="10" spans="2:14" x14ac:dyDescent="0.3">
      <c r="B10" t="s">
        <v>19</v>
      </c>
      <c r="C10" t="s">
        <v>20</v>
      </c>
      <c r="D10" s="1">
        <v>54000</v>
      </c>
      <c r="E10" s="2">
        <v>22000</v>
      </c>
      <c r="F10" s="1">
        <v>2700</v>
      </c>
      <c r="G10" t="s">
        <v>21</v>
      </c>
      <c r="I10" s="9" t="s">
        <v>55</v>
      </c>
      <c r="J10" s="9"/>
      <c r="K10" s="9"/>
      <c r="L10" s="9"/>
      <c r="M10" s="9"/>
      <c r="N10" s="9"/>
    </row>
    <row r="11" spans="2:14" x14ac:dyDescent="0.3">
      <c r="B11" t="s">
        <v>22</v>
      </c>
      <c r="C11" t="s">
        <v>23</v>
      </c>
      <c r="D11" s="1">
        <v>18500</v>
      </c>
      <c r="E11" s="2">
        <v>7200</v>
      </c>
      <c r="F11" s="1">
        <v>925</v>
      </c>
      <c r="G11" t="s">
        <v>8</v>
      </c>
      <c r="I11" s="9"/>
      <c r="J11" s="9"/>
      <c r="K11" s="9"/>
      <c r="L11" s="9"/>
      <c r="M11" s="9"/>
      <c r="N11" s="9"/>
    </row>
    <row r="12" spans="2:14" x14ac:dyDescent="0.3">
      <c r="B12" t="s">
        <v>24</v>
      </c>
      <c r="C12" t="s">
        <v>25</v>
      </c>
      <c r="D12" s="1">
        <v>36000</v>
      </c>
      <c r="E12" s="2">
        <v>16000</v>
      </c>
      <c r="F12" s="1">
        <v>1800</v>
      </c>
      <c r="G12" t="s">
        <v>11</v>
      </c>
    </row>
    <row r="13" spans="2:14" x14ac:dyDescent="0.3">
      <c r="B13" t="s">
        <v>26</v>
      </c>
      <c r="C13" t="s">
        <v>7</v>
      </c>
      <c r="D13" s="1">
        <v>29000</v>
      </c>
      <c r="E13" s="2">
        <v>13500</v>
      </c>
      <c r="F13" s="1">
        <v>1450</v>
      </c>
      <c r="G13" t="s">
        <v>16</v>
      </c>
      <c r="I13" s="9" t="s">
        <v>30</v>
      </c>
      <c r="J13" s="9"/>
      <c r="K13" s="9"/>
      <c r="L13" s="9"/>
      <c r="M13" s="9"/>
      <c r="N13" s="9"/>
    </row>
    <row r="14" spans="2:14" x14ac:dyDescent="0.3">
      <c r="B14" t="s">
        <v>27</v>
      </c>
      <c r="C14" t="s">
        <v>10</v>
      </c>
      <c r="D14" s="1">
        <v>41000</v>
      </c>
      <c r="E14" s="2">
        <v>18000</v>
      </c>
      <c r="F14" s="1">
        <v>2050</v>
      </c>
      <c r="G14" t="s">
        <v>21</v>
      </c>
      <c r="I14" s="9"/>
      <c r="J14" s="9"/>
      <c r="K14" s="9"/>
      <c r="L14" s="9"/>
      <c r="M14" s="9"/>
      <c r="N14" s="9"/>
    </row>
    <row r="15" spans="2:14" x14ac:dyDescent="0.3">
      <c r="B15" t="s">
        <v>28</v>
      </c>
      <c r="C15" t="s">
        <v>13</v>
      </c>
      <c r="D15" s="1">
        <v>67000</v>
      </c>
      <c r="E15" s="2">
        <v>29000</v>
      </c>
      <c r="F15" s="1">
        <v>3350</v>
      </c>
      <c r="G15" t="s">
        <v>11</v>
      </c>
    </row>
    <row r="16" spans="2:14" x14ac:dyDescent="0.3">
      <c r="B16" t="s">
        <v>6</v>
      </c>
      <c r="C16" t="s">
        <v>15</v>
      </c>
      <c r="D16" s="1">
        <v>78000</v>
      </c>
      <c r="E16" s="2">
        <v>33000</v>
      </c>
      <c r="F16" s="1">
        <v>3900</v>
      </c>
      <c r="G16" t="s">
        <v>16</v>
      </c>
      <c r="I16" s="9" t="s">
        <v>56</v>
      </c>
      <c r="J16" s="9"/>
      <c r="K16" s="9"/>
      <c r="L16" s="9"/>
      <c r="M16" s="9"/>
      <c r="N16" s="9"/>
    </row>
    <row r="17" spans="2:14" x14ac:dyDescent="0.3">
      <c r="B17" t="s">
        <v>9</v>
      </c>
      <c r="C17" t="s">
        <v>18</v>
      </c>
      <c r="D17" s="1">
        <v>31000</v>
      </c>
      <c r="E17" s="2">
        <v>12000</v>
      </c>
      <c r="F17" s="1">
        <v>1550</v>
      </c>
      <c r="G17" t="s">
        <v>21</v>
      </c>
      <c r="I17" s="9"/>
      <c r="J17" s="9"/>
      <c r="K17" s="9"/>
      <c r="L17" s="9"/>
      <c r="M17" s="9"/>
      <c r="N17" s="9"/>
    </row>
    <row r="18" spans="2:14" x14ac:dyDescent="0.3">
      <c r="B18" t="s">
        <v>12</v>
      </c>
      <c r="C18" t="s">
        <v>20</v>
      </c>
      <c r="D18" s="1">
        <v>44000</v>
      </c>
      <c r="E18" s="2">
        <v>19500</v>
      </c>
      <c r="F18" s="1">
        <v>2200</v>
      </c>
      <c r="G18" t="s">
        <v>8</v>
      </c>
    </row>
    <row r="19" spans="2:14" ht="14.4" customHeight="1" x14ac:dyDescent="0.3">
      <c r="B19" t="s">
        <v>17</v>
      </c>
      <c r="C19" t="s">
        <v>25</v>
      </c>
      <c r="D19" s="1">
        <v>52000</v>
      </c>
      <c r="E19" s="2">
        <v>24000</v>
      </c>
      <c r="F19" s="1">
        <v>2600</v>
      </c>
      <c r="G19" t="s">
        <v>16</v>
      </c>
      <c r="I19" s="9" t="s">
        <v>31</v>
      </c>
      <c r="J19" s="9"/>
      <c r="K19" s="9"/>
      <c r="L19" s="9"/>
      <c r="M19" s="9"/>
      <c r="N19" s="9"/>
    </row>
    <row r="20" spans="2:14" x14ac:dyDescent="0.3">
      <c r="B20" t="s">
        <v>19</v>
      </c>
      <c r="C20" t="s">
        <v>23</v>
      </c>
      <c r="D20" s="1">
        <v>26000</v>
      </c>
      <c r="E20" s="2">
        <v>10500</v>
      </c>
      <c r="F20" s="1">
        <v>1300</v>
      </c>
      <c r="G20" t="s">
        <v>11</v>
      </c>
      <c r="I20" s="9"/>
      <c r="J20" s="9"/>
      <c r="K20" s="9"/>
      <c r="L20" s="9"/>
      <c r="M20" s="9"/>
      <c r="N20" s="9"/>
    </row>
    <row r="21" spans="2:14" x14ac:dyDescent="0.3">
      <c r="B21" t="s">
        <v>14</v>
      </c>
      <c r="C21" t="s">
        <v>7</v>
      </c>
      <c r="D21" s="1">
        <v>110000</v>
      </c>
      <c r="E21" s="2">
        <v>48000</v>
      </c>
      <c r="F21" s="1">
        <v>5500</v>
      </c>
      <c r="G21" t="s">
        <v>16</v>
      </c>
    </row>
    <row r="22" spans="2:14" x14ac:dyDescent="0.3">
      <c r="B22" t="s">
        <v>22</v>
      </c>
      <c r="C22" t="s">
        <v>10</v>
      </c>
      <c r="D22" s="1">
        <v>38000</v>
      </c>
      <c r="E22" s="2">
        <v>16500</v>
      </c>
      <c r="F22" s="1">
        <v>1900</v>
      </c>
      <c r="G22" t="s">
        <v>21</v>
      </c>
      <c r="I22" s="9" t="s">
        <v>34</v>
      </c>
      <c r="J22" s="9"/>
      <c r="K22" s="9"/>
      <c r="L22" s="9"/>
      <c r="M22" s="9"/>
      <c r="N22" s="9"/>
    </row>
    <row r="23" spans="2:14" x14ac:dyDescent="0.3">
      <c r="B23" t="s">
        <v>26</v>
      </c>
      <c r="C23" t="s">
        <v>15</v>
      </c>
      <c r="D23" s="1">
        <v>57000</v>
      </c>
      <c r="E23" s="2">
        <v>25000</v>
      </c>
      <c r="F23" s="1">
        <v>2850</v>
      </c>
      <c r="G23" t="s">
        <v>11</v>
      </c>
      <c r="I23" s="9"/>
      <c r="J23" s="9"/>
      <c r="K23" s="9"/>
      <c r="L23" s="9"/>
      <c r="M23" s="9"/>
      <c r="N23" s="9"/>
    </row>
    <row r="24" spans="2:14" x14ac:dyDescent="0.3">
      <c r="B24" t="s">
        <v>28</v>
      </c>
      <c r="C24" t="s">
        <v>18</v>
      </c>
      <c r="D24" s="1">
        <v>19500</v>
      </c>
      <c r="E24" s="2">
        <v>8000</v>
      </c>
      <c r="F24" s="1">
        <v>975</v>
      </c>
      <c r="G24" t="s">
        <v>8</v>
      </c>
    </row>
    <row r="25" spans="2:14" x14ac:dyDescent="0.3">
      <c r="B25" t="s">
        <v>28</v>
      </c>
      <c r="C25" t="s">
        <v>10</v>
      </c>
      <c r="D25" s="1">
        <v>29000</v>
      </c>
      <c r="E25" s="2">
        <v>9000</v>
      </c>
      <c r="F25" s="1">
        <v>150</v>
      </c>
      <c r="G25" t="s">
        <v>11</v>
      </c>
    </row>
  </sheetData>
  <mergeCells count="6">
    <mergeCell ref="I19:N20"/>
    <mergeCell ref="I22:N23"/>
    <mergeCell ref="I5:N8"/>
    <mergeCell ref="I10:N11"/>
    <mergeCell ref="I13:N14"/>
    <mergeCell ref="I16:N17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C5E8A-1CB4-4A32-8474-30B0620064DB}">
  <sheetPr>
    <tabColor theme="4" tint="0.39997558519241921"/>
  </sheetPr>
  <dimension ref="B4:N26"/>
  <sheetViews>
    <sheetView workbookViewId="0">
      <selection activeCell="I8" sqref="I8:N9"/>
    </sheetView>
  </sheetViews>
  <sheetFormatPr defaultRowHeight="14.4" x14ac:dyDescent="0.3"/>
  <cols>
    <col min="2" max="2" width="12.109375" customWidth="1"/>
    <col min="3" max="3" width="17.21875" customWidth="1"/>
    <col min="4" max="4" width="19.21875" customWidth="1"/>
    <col min="5" max="5" width="16.109375" customWidth="1"/>
    <col min="6" max="6" width="18.44140625" customWidth="1"/>
    <col min="7" max="7" width="21.109375" customWidth="1"/>
  </cols>
  <sheetData>
    <row r="4" spans="2:14" ht="15.6" x14ac:dyDescent="0.3">
      <c r="B4" s="3" t="s">
        <v>0</v>
      </c>
      <c r="C4" s="3" t="s">
        <v>1</v>
      </c>
      <c r="D4" s="3" t="s">
        <v>2</v>
      </c>
      <c r="E4" s="3" t="s">
        <v>3</v>
      </c>
      <c r="F4" s="3" t="s">
        <v>4</v>
      </c>
      <c r="G4" s="3" t="s">
        <v>5</v>
      </c>
    </row>
    <row r="5" spans="2:14" x14ac:dyDescent="0.3">
      <c r="B5" t="s">
        <v>6</v>
      </c>
      <c r="C5" t="s">
        <v>7</v>
      </c>
      <c r="D5" s="1">
        <v>85000</v>
      </c>
      <c r="E5" s="2">
        <v>42000</v>
      </c>
      <c r="F5" s="1">
        <v>5100</v>
      </c>
      <c r="G5" t="s">
        <v>8</v>
      </c>
      <c r="I5" s="9" t="s">
        <v>54</v>
      </c>
      <c r="J5" s="9"/>
      <c r="K5" s="9"/>
      <c r="L5" s="9"/>
      <c r="M5" s="9"/>
      <c r="N5" s="9"/>
    </row>
    <row r="6" spans="2:14" x14ac:dyDescent="0.3">
      <c r="B6" t="s">
        <v>9</v>
      </c>
      <c r="C6" t="s">
        <v>10</v>
      </c>
      <c r="D6" s="1">
        <v>62000</v>
      </c>
      <c r="E6" s="2">
        <v>28000</v>
      </c>
      <c r="F6" s="1">
        <v>3720</v>
      </c>
      <c r="G6" t="s">
        <v>11</v>
      </c>
      <c r="I6" s="9"/>
      <c r="J6" s="9"/>
      <c r="K6" s="9"/>
      <c r="L6" s="9"/>
      <c r="M6" s="9"/>
      <c r="N6" s="9"/>
    </row>
    <row r="7" spans="2:14" x14ac:dyDescent="0.3">
      <c r="B7" t="s">
        <v>12</v>
      </c>
      <c r="C7" t="s">
        <v>13</v>
      </c>
      <c r="D7" s="1">
        <v>47500</v>
      </c>
      <c r="E7" s="2">
        <v>21000</v>
      </c>
      <c r="F7" s="1">
        <v>2375</v>
      </c>
      <c r="G7" t="s">
        <v>8</v>
      </c>
      <c r="I7" s="4"/>
      <c r="J7" s="4"/>
      <c r="K7" s="4"/>
      <c r="L7" s="4"/>
      <c r="M7" s="4"/>
      <c r="N7" s="4"/>
    </row>
    <row r="8" spans="2:14" x14ac:dyDescent="0.3">
      <c r="B8" t="s">
        <v>14</v>
      </c>
      <c r="C8" t="s">
        <v>15</v>
      </c>
      <c r="D8" s="1">
        <v>91000</v>
      </c>
      <c r="E8" s="2">
        <v>38000</v>
      </c>
      <c r="F8" s="1">
        <v>4550</v>
      </c>
      <c r="G8" t="s">
        <v>16</v>
      </c>
      <c r="I8" s="9" t="s">
        <v>33</v>
      </c>
      <c r="J8" s="9"/>
      <c r="K8" s="9"/>
      <c r="L8" s="9"/>
      <c r="M8" s="9"/>
      <c r="N8" s="9"/>
    </row>
    <row r="9" spans="2:14" x14ac:dyDescent="0.3">
      <c r="B9" t="s">
        <v>17</v>
      </c>
      <c r="C9" t="s">
        <v>18</v>
      </c>
      <c r="D9" s="1">
        <v>23000</v>
      </c>
      <c r="E9" s="2">
        <v>9500</v>
      </c>
      <c r="F9" s="1">
        <v>1150</v>
      </c>
      <c r="G9" t="s">
        <v>8</v>
      </c>
      <c r="I9" s="9"/>
      <c r="J9" s="9"/>
      <c r="K9" s="9"/>
      <c r="L9" s="9"/>
      <c r="M9" s="9"/>
      <c r="N9" s="9"/>
    </row>
    <row r="10" spans="2:14" x14ac:dyDescent="0.3">
      <c r="B10" t="s">
        <v>19</v>
      </c>
      <c r="C10" t="s">
        <v>20</v>
      </c>
      <c r="D10" s="1">
        <v>54000</v>
      </c>
      <c r="E10" s="2">
        <v>22000</v>
      </c>
      <c r="F10" s="1">
        <v>2700</v>
      </c>
      <c r="G10" t="s">
        <v>21</v>
      </c>
      <c r="I10" s="4"/>
      <c r="J10" s="4"/>
      <c r="K10" s="4"/>
      <c r="L10" s="4"/>
      <c r="M10" s="4"/>
      <c r="N10" s="4"/>
    </row>
    <row r="11" spans="2:14" x14ac:dyDescent="0.3">
      <c r="B11" t="s">
        <v>22</v>
      </c>
      <c r="C11" t="s">
        <v>23</v>
      </c>
      <c r="D11" s="1">
        <v>18500</v>
      </c>
      <c r="E11" s="2">
        <v>7200</v>
      </c>
      <c r="F11" s="1">
        <v>925</v>
      </c>
      <c r="G11" t="s">
        <v>8</v>
      </c>
      <c r="I11" s="4"/>
      <c r="J11" s="4"/>
      <c r="K11" s="4"/>
      <c r="L11" s="4"/>
      <c r="M11" s="4"/>
      <c r="N11" s="4"/>
    </row>
    <row r="12" spans="2:14" x14ac:dyDescent="0.3">
      <c r="B12" t="s">
        <v>24</v>
      </c>
      <c r="C12" t="s">
        <v>25</v>
      </c>
      <c r="D12" s="1">
        <v>36000</v>
      </c>
      <c r="E12" s="2">
        <v>16000</v>
      </c>
      <c r="F12" s="1">
        <v>1800</v>
      </c>
      <c r="G12" t="s">
        <v>11</v>
      </c>
      <c r="I12" s="4"/>
      <c r="J12" s="4"/>
      <c r="K12" s="4"/>
      <c r="L12" s="4"/>
      <c r="M12" s="4"/>
      <c r="N12" s="4"/>
    </row>
    <row r="13" spans="2:14" x14ac:dyDescent="0.3">
      <c r="B13" t="s">
        <v>26</v>
      </c>
      <c r="C13" t="s">
        <v>7</v>
      </c>
      <c r="D13" s="1">
        <v>29000</v>
      </c>
      <c r="E13" s="2">
        <v>13500</v>
      </c>
      <c r="F13" s="1">
        <v>1450</v>
      </c>
      <c r="G13" t="s">
        <v>16</v>
      </c>
      <c r="I13" s="4"/>
      <c r="J13" s="4"/>
      <c r="K13" s="4"/>
      <c r="L13" s="4"/>
      <c r="M13" s="4"/>
      <c r="N13" s="4"/>
    </row>
    <row r="14" spans="2:14" x14ac:dyDescent="0.3">
      <c r="B14" t="s">
        <v>27</v>
      </c>
      <c r="C14" t="s">
        <v>10</v>
      </c>
      <c r="D14" s="1">
        <v>41000</v>
      </c>
      <c r="E14" s="2">
        <v>18000</v>
      </c>
      <c r="F14" s="1">
        <v>2050</v>
      </c>
      <c r="G14" t="s">
        <v>21</v>
      </c>
      <c r="I14" s="4"/>
      <c r="J14" s="4"/>
      <c r="K14" s="4"/>
      <c r="L14" s="4"/>
      <c r="M14" s="4"/>
      <c r="N14" s="4"/>
    </row>
    <row r="15" spans="2:14" x14ac:dyDescent="0.3">
      <c r="B15" t="s">
        <v>28</v>
      </c>
      <c r="C15" t="s">
        <v>13</v>
      </c>
      <c r="D15" s="1">
        <v>67000</v>
      </c>
      <c r="E15" s="2">
        <v>29000</v>
      </c>
      <c r="F15" s="1">
        <v>3350</v>
      </c>
      <c r="G15" t="s">
        <v>11</v>
      </c>
      <c r="I15" s="4"/>
      <c r="J15" s="4"/>
      <c r="K15" s="4"/>
      <c r="L15" s="4"/>
      <c r="M15" s="4"/>
      <c r="N15" s="4"/>
    </row>
    <row r="16" spans="2:14" x14ac:dyDescent="0.3">
      <c r="B16" t="s">
        <v>6</v>
      </c>
      <c r="C16" t="s">
        <v>15</v>
      </c>
      <c r="D16" s="1">
        <v>78000</v>
      </c>
      <c r="E16" s="2">
        <v>33000</v>
      </c>
      <c r="F16" s="1">
        <v>3900</v>
      </c>
      <c r="G16" t="s">
        <v>16</v>
      </c>
      <c r="I16" s="4"/>
      <c r="J16" s="4"/>
      <c r="K16" s="4"/>
      <c r="L16" s="4"/>
      <c r="M16" s="4"/>
      <c r="N16" s="4"/>
    </row>
    <row r="17" spans="2:14" x14ac:dyDescent="0.3">
      <c r="B17" t="s">
        <v>9</v>
      </c>
      <c r="C17" t="s">
        <v>18</v>
      </c>
      <c r="D17" s="1">
        <v>31000</v>
      </c>
      <c r="E17" s="2">
        <v>12000</v>
      </c>
      <c r="F17" s="1">
        <v>1550</v>
      </c>
      <c r="G17" t="s">
        <v>21</v>
      </c>
      <c r="I17" s="4"/>
      <c r="J17" s="4"/>
      <c r="K17" s="4"/>
      <c r="L17" s="4"/>
      <c r="M17" s="4"/>
      <c r="N17" s="4"/>
    </row>
    <row r="18" spans="2:14" x14ac:dyDescent="0.3">
      <c r="B18" t="s">
        <v>12</v>
      </c>
      <c r="C18" t="s">
        <v>20</v>
      </c>
      <c r="D18" s="1">
        <v>44000</v>
      </c>
      <c r="E18" s="2">
        <v>19500</v>
      </c>
      <c r="F18" s="1">
        <v>2200</v>
      </c>
      <c r="G18" t="s">
        <v>8</v>
      </c>
    </row>
    <row r="19" spans="2:14" x14ac:dyDescent="0.3">
      <c r="B19" t="s">
        <v>17</v>
      </c>
      <c r="C19" t="s">
        <v>25</v>
      </c>
      <c r="D19" s="1">
        <v>52000</v>
      </c>
      <c r="E19" s="2">
        <v>24000</v>
      </c>
      <c r="F19" s="1">
        <v>2600</v>
      </c>
      <c r="G19" t="s">
        <v>16</v>
      </c>
      <c r="I19" s="4"/>
      <c r="J19" s="4"/>
      <c r="K19" s="4"/>
      <c r="L19" s="4"/>
      <c r="M19" s="4"/>
      <c r="N19" s="4"/>
    </row>
    <row r="20" spans="2:14" x14ac:dyDescent="0.3">
      <c r="B20" t="s">
        <v>19</v>
      </c>
      <c r="C20" t="s">
        <v>23</v>
      </c>
      <c r="D20" s="1">
        <v>26000</v>
      </c>
      <c r="E20" s="2">
        <v>10500</v>
      </c>
      <c r="F20" s="1">
        <v>1300</v>
      </c>
      <c r="G20" t="s">
        <v>11</v>
      </c>
      <c r="I20" s="4"/>
      <c r="J20" s="4"/>
      <c r="K20" s="4"/>
      <c r="L20" s="4"/>
      <c r="M20" s="4"/>
      <c r="N20" s="4"/>
    </row>
    <row r="21" spans="2:14" x14ac:dyDescent="0.3">
      <c r="B21" t="s">
        <v>14</v>
      </c>
      <c r="C21" t="s">
        <v>7</v>
      </c>
      <c r="D21" s="1">
        <v>110000</v>
      </c>
      <c r="E21" s="2">
        <v>48000</v>
      </c>
      <c r="F21" s="1">
        <v>5500</v>
      </c>
      <c r="G21" t="s">
        <v>16</v>
      </c>
    </row>
    <row r="22" spans="2:14" x14ac:dyDescent="0.3">
      <c r="B22" t="s">
        <v>22</v>
      </c>
      <c r="C22" t="s">
        <v>10</v>
      </c>
      <c r="D22" s="1">
        <v>38000</v>
      </c>
      <c r="E22" s="2">
        <v>16500</v>
      </c>
      <c r="F22" s="1">
        <v>1900</v>
      </c>
      <c r="G22" t="s">
        <v>21</v>
      </c>
    </row>
    <row r="23" spans="2:14" x14ac:dyDescent="0.3">
      <c r="B23" t="s">
        <v>26</v>
      </c>
      <c r="C23" t="s">
        <v>15</v>
      </c>
      <c r="D23" s="1">
        <v>57000</v>
      </c>
      <c r="E23" s="2">
        <v>25000</v>
      </c>
      <c r="F23" s="1">
        <v>2850</v>
      </c>
      <c r="G23" t="s">
        <v>11</v>
      </c>
    </row>
    <row r="24" spans="2:14" x14ac:dyDescent="0.3">
      <c r="B24" t="s">
        <v>28</v>
      </c>
      <c r="C24" t="s">
        <v>18</v>
      </c>
      <c r="D24" s="1">
        <v>19500</v>
      </c>
      <c r="E24" s="2">
        <v>8000</v>
      </c>
      <c r="F24" s="1">
        <v>975</v>
      </c>
      <c r="G24" t="s">
        <v>8</v>
      </c>
    </row>
    <row r="25" spans="2:14" x14ac:dyDescent="0.3">
      <c r="B25" t="s">
        <v>28</v>
      </c>
      <c r="C25" t="s">
        <v>10</v>
      </c>
      <c r="D25" s="1">
        <v>29000</v>
      </c>
      <c r="E25" s="2">
        <v>9000</v>
      </c>
      <c r="F25" s="1">
        <v>150</v>
      </c>
      <c r="G25" t="s">
        <v>11</v>
      </c>
    </row>
    <row r="26" spans="2:14" x14ac:dyDescent="0.3">
      <c r="B26" t="s">
        <v>32</v>
      </c>
      <c r="E26" s="6"/>
      <c r="G26">
        <f>SUBTOTAL(103,VentasPorPais8[Tipo Mercado])</f>
        <v>21</v>
      </c>
    </row>
  </sheetData>
  <mergeCells count="2">
    <mergeCell ref="I5:N6"/>
    <mergeCell ref="I8:N9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9DE1A-33F2-4A0A-AC07-A77769D109C0}">
  <sheetPr>
    <tabColor theme="5" tint="0.39997558519241921"/>
  </sheetPr>
  <dimension ref="B4:N26"/>
  <sheetViews>
    <sheetView workbookViewId="0">
      <selection activeCell="I18" sqref="I18"/>
    </sheetView>
  </sheetViews>
  <sheetFormatPr defaultRowHeight="14.4" x14ac:dyDescent="0.3"/>
  <cols>
    <col min="2" max="2" width="13.21875" customWidth="1"/>
    <col min="3" max="3" width="17.77734375" customWidth="1"/>
    <col min="4" max="4" width="19" customWidth="1"/>
    <col min="5" max="5" width="17.6640625" customWidth="1"/>
    <col min="6" max="6" width="16.77734375" customWidth="1"/>
    <col min="7" max="7" width="20.77734375" customWidth="1"/>
    <col min="8" max="8" width="8.88671875" customWidth="1"/>
  </cols>
  <sheetData>
    <row r="4" spans="2:14" ht="15.6" x14ac:dyDescent="0.3">
      <c r="B4" s="3" t="s">
        <v>0</v>
      </c>
      <c r="C4" s="3" t="s">
        <v>1</v>
      </c>
      <c r="D4" s="3" t="s">
        <v>2</v>
      </c>
      <c r="E4" s="3" t="s">
        <v>3</v>
      </c>
      <c r="F4" s="3" t="s">
        <v>4</v>
      </c>
      <c r="G4" s="3" t="s">
        <v>5</v>
      </c>
    </row>
    <row r="5" spans="2:14" ht="14.4" customHeight="1" x14ac:dyDescent="0.3">
      <c r="B5" t="s">
        <v>22</v>
      </c>
      <c r="C5" t="s">
        <v>23</v>
      </c>
      <c r="D5" s="1">
        <v>18500</v>
      </c>
      <c r="E5" s="2">
        <v>7200</v>
      </c>
      <c r="F5" s="1">
        <v>925</v>
      </c>
      <c r="G5" t="s">
        <v>8</v>
      </c>
      <c r="I5" s="9" t="s">
        <v>35</v>
      </c>
      <c r="J5" s="9"/>
      <c r="K5" s="9"/>
      <c r="L5" s="9"/>
      <c r="M5" s="9"/>
      <c r="N5" s="9"/>
    </row>
    <row r="6" spans="2:14" x14ac:dyDescent="0.3">
      <c r="B6" t="s">
        <v>28</v>
      </c>
      <c r="C6" t="s">
        <v>18</v>
      </c>
      <c r="D6" s="1">
        <v>19500</v>
      </c>
      <c r="E6" s="2">
        <v>8000</v>
      </c>
      <c r="F6" s="1">
        <v>975</v>
      </c>
      <c r="G6" t="s">
        <v>8</v>
      </c>
      <c r="I6" s="9"/>
      <c r="J6" s="9"/>
      <c r="K6" s="9"/>
      <c r="L6" s="9"/>
      <c r="M6" s="9"/>
      <c r="N6" s="9"/>
    </row>
    <row r="7" spans="2:14" x14ac:dyDescent="0.3">
      <c r="B7" t="s">
        <v>28</v>
      </c>
      <c r="C7" t="s">
        <v>10</v>
      </c>
      <c r="D7" s="1">
        <v>29000</v>
      </c>
      <c r="E7" s="2">
        <v>9000</v>
      </c>
      <c r="F7" s="1">
        <v>150</v>
      </c>
      <c r="G7" t="s">
        <v>11</v>
      </c>
      <c r="I7" s="4"/>
      <c r="J7" s="4"/>
      <c r="K7" s="4"/>
      <c r="L7" s="4"/>
      <c r="M7" s="4"/>
      <c r="N7" s="4"/>
    </row>
    <row r="8" spans="2:14" x14ac:dyDescent="0.3">
      <c r="B8" t="s">
        <v>17</v>
      </c>
      <c r="C8" t="s">
        <v>18</v>
      </c>
      <c r="D8" s="1">
        <v>23000</v>
      </c>
      <c r="E8" s="2">
        <v>9500</v>
      </c>
      <c r="F8" s="1">
        <v>1150</v>
      </c>
      <c r="G8" t="s">
        <v>8</v>
      </c>
      <c r="I8" s="9" t="s">
        <v>36</v>
      </c>
      <c r="J8" s="9"/>
      <c r="K8" s="9"/>
      <c r="L8" s="9"/>
      <c r="M8" s="9"/>
      <c r="N8" s="9"/>
    </row>
    <row r="9" spans="2:14" x14ac:dyDescent="0.3">
      <c r="B9" t="s">
        <v>19</v>
      </c>
      <c r="C9" t="s">
        <v>23</v>
      </c>
      <c r="D9" s="1">
        <v>26000</v>
      </c>
      <c r="E9" s="2">
        <v>10500</v>
      </c>
      <c r="F9" s="1">
        <v>1300</v>
      </c>
      <c r="G9" t="s">
        <v>11</v>
      </c>
      <c r="I9" s="9"/>
      <c r="J9" s="9"/>
      <c r="K9" s="9"/>
      <c r="L9" s="9"/>
      <c r="M9" s="9"/>
      <c r="N9" s="9"/>
    </row>
    <row r="10" spans="2:14" x14ac:dyDescent="0.3">
      <c r="B10" t="s">
        <v>9</v>
      </c>
      <c r="C10" t="s">
        <v>18</v>
      </c>
      <c r="D10" s="1">
        <v>31000</v>
      </c>
      <c r="E10" s="2">
        <v>12000</v>
      </c>
      <c r="F10" s="1">
        <v>1550</v>
      </c>
      <c r="G10" t="s">
        <v>21</v>
      </c>
      <c r="I10" s="4"/>
      <c r="J10" s="4"/>
      <c r="K10" s="4"/>
      <c r="L10" s="4"/>
      <c r="M10" s="4"/>
      <c r="N10" s="4"/>
    </row>
    <row r="11" spans="2:14" x14ac:dyDescent="0.3">
      <c r="B11" t="s">
        <v>26</v>
      </c>
      <c r="C11" t="s">
        <v>7</v>
      </c>
      <c r="D11" s="1">
        <v>29000</v>
      </c>
      <c r="E11" s="2">
        <v>13500</v>
      </c>
      <c r="F11" s="1">
        <v>1450</v>
      </c>
      <c r="G11" t="s">
        <v>16</v>
      </c>
      <c r="I11" s="9" t="s">
        <v>37</v>
      </c>
      <c r="J11" s="9"/>
      <c r="K11" s="9"/>
      <c r="L11" s="9"/>
      <c r="M11" s="9"/>
      <c r="N11" s="9"/>
    </row>
    <row r="12" spans="2:14" x14ac:dyDescent="0.3">
      <c r="B12" t="s">
        <v>24</v>
      </c>
      <c r="C12" t="s">
        <v>25</v>
      </c>
      <c r="D12" s="1">
        <v>36000</v>
      </c>
      <c r="E12" s="2">
        <v>16000</v>
      </c>
      <c r="F12" s="1">
        <v>1800</v>
      </c>
      <c r="G12" t="s">
        <v>11</v>
      </c>
      <c r="I12" s="9"/>
      <c r="J12" s="9"/>
      <c r="K12" s="9"/>
      <c r="L12" s="9"/>
      <c r="M12" s="9"/>
      <c r="N12" s="9"/>
    </row>
    <row r="13" spans="2:14" x14ac:dyDescent="0.3">
      <c r="B13" t="s">
        <v>22</v>
      </c>
      <c r="C13" t="s">
        <v>10</v>
      </c>
      <c r="D13" s="1">
        <v>38000</v>
      </c>
      <c r="E13" s="2">
        <v>16500</v>
      </c>
      <c r="F13" s="1">
        <v>1900</v>
      </c>
      <c r="G13" t="s">
        <v>21</v>
      </c>
      <c r="I13" s="4"/>
      <c r="J13" s="4"/>
      <c r="K13" s="4"/>
      <c r="L13" s="4"/>
      <c r="M13" s="4"/>
      <c r="N13" s="4"/>
    </row>
    <row r="14" spans="2:14" x14ac:dyDescent="0.3">
      <c r="B14" t="s">
        <v>27</v>
      </c>
      <c r="C14" t="s">
        <v>10</v>
      </c>
      <c r="D14" s="1">
        <v>41000</v>
      </c>
      <c r="E14" s="2">
        <v>18000</v>
      </c>
      <c r="F14" s="1">
        <v>2050</v>
      </c>
      <c r="G14" t="s">
        <v>21</v>
      </c>
      <c r="I14" s="9" t="s">
        <v>39</v>
      </c>
      <c r="J14" s="9"/>
      <c r="K14" s="9"/>
      <c r="L14" s="9"/>
      <c r="M14" s="9"/>
      <c r="N14" s="9"/>
    </row>
    <row r="15" spans="2:14" x14ac:dyDescent="0.3">
      <c r="B15" t="s">
        <v>12</v>
      </c>
      <c r="C15" t="s">
        <v>20</v>
      </c>
      <c r="D15" s="1">
        <v>44000</v>
      </c>
      <c r="E15" s="2">
        <v>19500</v>
      </c>
      <c r="F15" s="1">
        <v>2200</v>
      </c>
      <c r="G15" t="s">
        <v>8</v>
      </c>
      <c r="I15" s="9"/>
      <c r="J15" s="9"/>
      <c r="K15" s="9"/>
      <c r="L15" s="9"/>
      <c r="M15" s="9"/>
      <c r="N15" s="9"/>
    </row>
    <row r="16" spans="2:14" x14ac:dyDescent="0.3">
      <c r="B16" t="s">
        <v>12</v>
      </c>
      <c r="C16" t="s">
        <v>13</v>
      </c>
      <c r="D16" s="1">
        <v>47500</v>
      </c>
      <c r="E16" s="2">
        <v>21000</v>
      </c>
      <c r="F16" s="1">
        <v>2375</v>
      </c>
      <c r="G16" t="s">
        <v>8</v>
      </c>
      <c r="I16" s="4"/>
      <c r="J16" s="4"/>
      <c r="K16" s="4"/>
      <c r="L16" s="4"/>
      <c r="M16" s="4"/>
      <c r="N16" s="4"/>
    </row>
    <row r="17" spans="2:14" x14ac:dyDescent="0.3">
      <c r="B17" t="s">
        <v>19</v>
      </c>
      <c r="C17" t="s">
        <v>20</v>
      </c>
      <c r="D17" s="1">
        <v>54000</v>
      </c>
      <c r="E17" s="2">
        <v>22000</v>
      </c>
      <c r="F17" s="1">
        <v>2700</v>
      </c>
      <c r="G17" t="s">
        <v>21</v>
      </c>
      <c r="I17" s="4"/>
      <c r="J17" s="4"/>
      <c r="K17" s="4"/>
      <c r="L17" s="4"/>
      <c r="M17" s="4"/>
      <c r="N17" s="4"/>
    </row>
    <row r="18" spans="2:14" x14ac:dyDescent="0.3">
      <c r="B18" t="s">
        <v>17</v>
      </c>
      <c r="C18" t="s">
        <v>25</v>
      </c>
      <c r="D18" s="1">
        <v>52000</v>
      </c>
      <c r="E18" s="2">
        <v>24000</v>
      </c>
      <c r="F18" s="1">
        <v>2600</v>
      </c>
      <c r="G18" t="s">
        <v>16</v>
      </c>
    </row>
    <row r="19" spans="2:14" ht="14.4" customHeight="1" x14ac:dyDescent="0.3">
      <c r="B19" t="s">
        <v>26</v>
      </c>
      <c r="C19" t="s">
        <v>15</v>
      </c>
      <c r="D19" s="1">
        <v>57000</v>
      </c>
      <c r="E19" s="2">
        <v>25000</v>
      </c>
      <c r="F19" s="1">
        <v>2850</v>
      </c>
      <c r="G19" t="s">
        <v>11</v>
      </c>
      <c r="I19" s="4"/>
      <c r="J19" s="4"/>
      <c r="K19" s="4"/>
      <c r="L19" s="4"/>
      <c r="M19" s="4"/>
      <c r="N19" s="4"/>
    </row>
    <row r="20" spans="2:14" x14ac:dyDescent="0.3">
      <c r="B20" t="s">
        <v>9</v>
      </c>
      <c r="C20" t="s">
        <v>10</v>
      </c>
      <c r="D20" s="1">
        <v>62000</v>
      </c>
      <c r="E20" s="2">
        <v>28000</v>
      </c>
      <c r="F20" s="1">
        <v>3720</v>
      </c>
      <c r="G20" t="s">
        <v>11</v>
      </c>
      <c r="I20" s="4"/>
      <c r="J20" s="4"/>
      <c r="K20" s="4"/>
      <c r="L20" s="4"/>
      <c r="M20" s="4"/>
      <c r="N20" s="4"/>
    </row>
    <row r="21" spans="2:14" x14ac:dyDescent="0.3">
      <c r="B21" t="s">
        <v>28</v>
      </c>
      <c r="C21" t="s">
        <v>13</v>
      </c>
      <c r="D21" s="1">
        <v>67000</v>
      </c>
      <c r="E21" s="2">
        <v>29000</v>
      </c>
      <c r="F21" s="1">
        <v>3350</v>
      </c>
      <c r="G21" t="s">
        <v>11</v>
      </c>
    </row>
    <row r="22" spans="2:14" x14ac:dyDescent="0.3">
      <c r="B22" t="s">
        <v>6</v>
      </c>
      <c r="C22" t="s">
        <v>15</v>
      </c>
      <c r="D22" s="1">
        <v>78000</v>
      </c>
      <c r="E22" s="2">
        <v>33000</v>
      </c>
      <c r="F22" s="1">
        <v>3900</v>
      </c>
      <c r="G22" t="s">
        <v>16</v>
      </c>
    </row>
    <row r="23" spans="2:14" x14ac:dyDescent="0.3">
      <c r="B23" t="s">
        <v>14</v>
      </c>
      <c r="C23" t="s">
        <v>15</v>
      </c>
      <c r="D23" s="1">
        <v>91000</v>
      </c>
      <c r="E23" s="2">
        <v>38000</v>
      </c>
      <c r="F23" s="1">
        <v>4550</v>
      </c>
      <c r="G23" t="s">
        <v>16</v>
      </c>
    </row>
    <row r="24" spans="2:14" x14ac:dyDescent="0.3">
      <c r="B24" t="s">
        <v>6</v>
      </c>
      <c r="C24" t="s">
        <v>7</v>
      </c>
      <c r="D24" s="1">
        <v>85000</v>
      </c>
      <c r="E24" s="2">
        <v>42000</v>
      </c>
      <c r="F24" s="1">
        <v>5100</v>
      </c>
      <c r="G24" t="s">
        <v>8</v>
      </c>
    </row>
    <row r="25" spans="2:14" x14ac:dyDescent="0.3">
      <c r="B25" t="s">
        <v>38</v>
      </c>
      <c r="C25" t="s">
        <v>20</v>
      </c>
      <c r="D25" s="1">
        <v>515262</v>
      </c>
      <c r="E25" s="2">
        <v>48000</v>
      </c>
      <c r="F25" s="1">
        <v>55000</v>
      </c>
      <c r="G25" t="s">
        <v>8</v>
      </c>
    </row>
    <row r="26" spans="2:14" x14ac:dyDescent="0.3">
      <c r="B26" t="s">
        <v>14</v>
      </c>
      <c r="C26" t="s">
        <v>7</v>
      </c>
      <c r="D26" s="1">
        <v>110000</v>
      </c>
      <c r="E26" s="2">
        <v>48000</v>
      </c>
      <c r="F26" s="1">
        <v>5500</v>
      </c>
      <c r="G26" t="s">
        <v>16</v>
      </c>
    </row>
  </sheetData>
  <mergeCells count="4">
    <mergeCell ref="I14:N15"/>
    <mergeCell ref="I5:N6"/>
    <mergeCell ref="I8:N9"/>
    <mergeCell ref="I11:N1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2F0F3-871E-46E6-9E13-92642467CA16}">
  <sheetPr>
    <tabColor theme="8" tint="0.39997558519241921"/>
  </sheetPr>
  <dimension ref="B4:O26"/>
  <sheetViews>
    <sheetView workbookViewId="0">
      <selection activeCell="I1" sqref="I1"/>
    </sheetView>
  </sheetViews>
  <sheetFormatPr defaultRowHeight="14.4" x14ac:dyDescent="0.3"/>
  <cols>
    <col min="2" max="2" width="13.21875" customWidth="1"/>
    <col min="3" max="3" width="17.77734375" customWidth="1"/>
    <col min="4" max="4" width="19" customWidth="1"/>
    <col min="5" max="5" width="17.6640625" customWidth="1"/>
    <col min="6" max="6" width="16.77734375" customWidth="1"/>
    <col min="7" max="7" width="20.77734375" customWidth="1"/>
    <col min="8" max="8" width="22.109375" customWidth="1"/>
  </cols>
  <sheetData>
    <row r="4" spans="2:15" ht="15.6" x14ac:dyDescent="0.3">
      <c r="B4" s="3" t="s">
        <v>0</v>
      </c>
      <c r="C4" s="3" t="s">
        <v>1</v>
      </c>
      <c r="D4" s="3" t="s">
        <v>2</v>
      </c>
      <c r="E4" s="3" t="s">
        <v>3</v>
      </c>
      <c r="F4" s="3" t="s">
        <v>4</v>
      </c>
      <c r="G4" s="3" t="s">
        <v>5</v>
      </c>
      <c r="H4" s="3" t="s">
        <v>40</v>
      </c>
    </row>
    <row r="5" spans="2:15" ht="14.4" customHeight="1" x14ac:dyDescent="0.3">
      <c r="B5" t="s">
        <v>22</v>
      </c>
      <c r="C5" t="s">
        <v>23</v>
      </c>
      <c r="D5" s="1">
        <v>18500</v>
      </c>
      <c r="E5" s="2">
        <v>7200</v>
      </c>
      <c r="F5" s="1">
        <v>925</v>
      </c>
      <c r="G5" t="s">
        <v>8</v>
      </c>
      <c r="H5" s="1">
        <f>VentasPorPais910[[#This Row],[Ventas Enero]]-VentasPorPais910[[#This Row],[Descuentos]]</f>
        <v>17575</v>
      </c>
      <c r="J5" s="9" t="s">
        <v>43</v>
      </c>
      <c r="K5" s="9"/>
      <c r="L5" s="9"/>
      <c r="M5" s="9"/>
      <c r="N5" s="9"/>
      <c r="O5" s="9"/>
    </row>
    <row r="6" spans="2:15" x14ac:dyDescent="0.3">
      <c r="B6" t="s">
        <v>28</v>
      </c>
      <c r="C6" t="s">
        <v>18</v>
      </c>
      <c r="D6" s="1">
        <v>19500</v>
      </c>
      <c r="E6" s="2">
        <v>8000</v>
      </c>
      <c r="F6" s="1">
        <v>975</v>
      </c>
      <c r="G6" t="s">
        <v>8</v>
      </c>
      <c r="H6" s="1">
        <f>VentasPorPais910[[#This Row],[Ventas Enero]]-VentasPorPais910[[#This Row],[Descuentos]]</f>
        <v>18525</v>
      </c>
      <c r="J6" s="9"/>
      <c r="K6" s="9"/>
      <c r="L6" s="9"/>
      <c r="M6" s="9"/>
      <c r="N6" s="9"/>
      <c r="O6" s="9"/>
    </row>
    <row r="7" spans="2:15" x14ac:dyDescent="0.3">
      <c r="B7" t="s">
        <v>28</v>
      </c>
      <c r="C7" t="s">
        <v>10</v>
      </c>
      <c r="D7" s="1">
        <v>29000</v>
      </c>
      <c r="E7" s="2">
        <v>9000</v>
      </c>
      <c r="F7" s="1">
        <v>150</v>
      </c>
      <c r="G7" t="s">
        <v>11</v>
      </c>
      <c r="H7" s="1">
        <f>VentasPorPais910[[#This Row],[Ventas Enero]]-VentasPorPais910[[#This Row],[Descuentos]]</f>
        <v>28850</v>
      </c>
      <c r="J7" s="4"/>
      <c r="K7" s="4"/>
      <c r="L7" s="4"/>
      <c r="M7" s="4"/>
      <c r="N7" s="4"/>
      <c r="O7" s="4"/>
    </row>
    <row r="8" spans="2:15" x14ac:dyDescent="0.3">
      <c r="B8" t="s">
        <v>17</v>
      </c>
      <c r="C8" t="s">
        <v>18</v>
      </c>
      <c r="D8" s="1">
        <v>23000</v>
      </c>
      <c r="E8" s="2">
        <v>9500</v>
      </c>
      <c r="F8" s="1">
        <v>1150</v>
      </c>
      <c r="G8" t="s">
        <v>8</v>
      </c>
      <c r="H8" s="1">
        <f>VentasPorPais910[[#This Row],[Ventas Enero]]-VentasPorPais910[[#This Row],[Descuentos]]</f>
        <v>21850</v>
      </c>
      <c r="J8" s="9" t="s">
        <v>41</v>
      </c>
      <c r="K8" s="9"/>
      <c r="L8" s="9"/>
      <c r="M8" s="9"/>
      <c r="N8" s="9"/>
      <c r="O8" s="9"/>
    </row>
    <row r="9" spans="2:15" x14ac:dyDescent="0.3">
      <c r="B9" t="s">
        <v>19</v>
      </c>
      <c r="C9" t="s">
        <v>23</v>
      </c>
      <c r="D9" s="1">
        <v>26000</v>
      </c>
      <c r="E9" s="2">
        <v>10500</v>
      </c>
      <c r="F9" s="1">
        <v>1300</v>
      </c>
      <c r="G9" t="s">
        <v>11</v>
      </c>
      <c r="H9" s="1">
        <f>VentasPorPais910[[#This Row],[Ventas Enero]]-VentasPorPais910[[#This Row],[Descuentos]]</f>
        <v>24700</v>
      </c>
      <c r="J9" s="9"/>
      <c r="K9" s="9"/>
      <c r="L9" s="9"/>
      <c r="M9" s="9"/>
      <c r="N9" s="9"/>
      <c r="O9" s="9"/>
    </row>
    <row r="10" spans="2:15" x14ac:dyDescent="0.3">
      <c r="B10" t="s">
        <v>9</v>
      </c>
      <c r="C10" t="s">
        <v>18</v>
      </c>
      <c r="D10" s="1">
        <v>31000</v>
      </c>
      <c r="E10" s="2">
        <v>12000</v>
      </c>
      <c r="F10" s="1">
        <v>1550</v>
      </c>
      <c r="G10" t="s">
        <v>21</v>
      </c>
      <c r="H10" s="1">
        <f>VentasPorPais910[[#This Row],[Ventas Enero]]-VentasPorPais910[[#This Row],[Descuentos]]</f>
        <v>29450</v>
      </c>
      <c r="J10" s="4"/>
      <c r="K10" s="4"/>
      <c r="L10" s="4"/>
      <c r="M10" s="4"/>
      <c r="N10" s="4"/>
      <c r="O10" s="4"/>
    </row>
    <row r="11" spans="2:15" x14ac:dyDescent="0.3">
      <c r="B11" t="s">
        <v>26</v>
      </c>
      <c r="C11" t="s">
        <v>7</v>
      </c>
      <c r="D11" s="1">
        <v>29000</v>
      </c>
      <c r="E11" s="2">
        <v>13500</v>
      </c>
      <c r="F11" s="1">
        <v>1450</v>
      </c>
      <c r="G11" t="s">
        <v>16</v>
      </c>
      <c r="H11" s="1">
        <f>VentasPorPais910[[#This Row],[Ventas Enero]]-VentasPorPais910[[#This Row],[Descuentos]]</f>
        <v>27550</v>
      </c>
      <c r="J11" s="9" t="s">
        <v>42</v>
      </c>
      <c r="K11" s="9"/>
      <c r="L11" s="9"/>
      <c r="M11" s="9"/>
      <c r="N11" s="9"/>
      <c r="O11" s="9"/>
    </row>
    <row r="12" spans="2:15" x14ac:dyDescent="0.3">
      <c r="B12" t="s">
        <v>24</v>
      </c>
      <c r="C12" t="s">
        <v>25</v>
      </c>
      <c r="D12" s="1">
        <v>36000</v>
      </c>
      <c r="E12" s="2">
        <v>16000</v>
      </c>
      <c r="F12" s="1">
        <v>1800</v>
      </c>
      <c r="G12" t="s">
        <v>11</v>
      </c>
      <c r="H12" s="1">
        <f>VentasPorPais910[[#This Row],[Ventas Enero]]-VentasPorPais910[[#This Row],[Descuentos]]</f>
        <v>34200</v>
      </c>
      <c r="J12" s="9"/>
      <c r="K12" s="9"/>
      <c r="L12" s="9"/>
      <c r="M12" s="9"/>
      <c r="N12" s="9"/>
      <c r="O12" s="9"/>
    </row>
    <row r="13" spans="2:15" x14ac:dyDescent="0.3">
      <c r="B13" t="s">
        <v>22</v>
      </c>
      <c r="C13" t="s">
        <v>10</v>
      </c>
      <c r="D13" s="1">
        <v>38000</v>
      </c>
      <c r="E13" s="2">
        <v>16500</v>
      </c>
      <c r="F13" s="1">
        <v>1900</v>
      </c>
      <c r="G13" t="s">
        <v>21</v>
      </c>
      <c r="H13" s="1">
        <f>VentasPorPais910[[#This Row],[Ventas Enero]]-VentasPorPais910[[#This Row],[Descuentos]]</f>
        <v>36100</v>
      </c>
      <c r="J13" s="4"/>
      <c r="K13" s="4"/>
      <c r="L13" s="4"/>
      <c r="M13" s="4"/>
      <c r="N13" s="4"/>
      <c r="O13" s="4"/>
    </row>
    <row r="14" spans="2:15" x14ac:dyDescent="0.3">
      <c r="B14" t="s">
        <v>27</v>
      </c>
      <c r="C14" t="s">
        <v>10</v>
      </c>
      <c r="D14" s="1">
        <v>41000</v>
      </c>
      <c r="E14" s="2">
        <v>18000</v>
      </c>
      <c r="F14" s="1">
        <v>2050</v>
      </c>
      <c r="G14" t="s">
        <v>21</v>
      </c>
      <c r="H14" s="1">
        <f>VentasPorPais910[[#This Row],[Ventas Enero]]-VentasPorPais910[[#This Row],[Descuentos]]</f>
        <v>38950</v>
      </c>
      <c r="J14" s="5"/>
      <c r="K14" s="5"/>
      <c r="L14" s="5"/>
      <c r="M14" s="5"/>
      <c r="N14" s="5"/>
      <c r="O14" s="5"/>
    </row>
    <row r="15" spans="2:15" x14ac:dyDescent="0.3">
      <c r="B15" t="s">
        <v>12</v>
      </c>
      <c r="C15" t="s">
        <v>20</v>
      </c>
      <c r="D15" s="1">
        <v>44000</v>
      </c>
      <c r="E15" s="2">
        <v>19500</v>
      </c>
      <c r="F15" s="1">
        <v>2200</v>
      </c>
      <c r="G15" t="s">
        <v>8</v>
      </c>
      <c r="H15" s="1">
        <f>VentasPorPais910[[#This Row],[Ventas Enero]]-VentasPorPais910[[#This Row],[Descuentos]]</f>
        <v>41800</v>
      </c>
      <c r="J15" s="5"/>
      <c r="K15" s="5"/>
      <c r="L15" s="5"/>
      <c r="M15" s="5"/>
      <c r="N15" s="5"/>
      <c r="O15" s="5"/>
    </row>
    <row r="16" spans="2:15" x14ac:dyDescent="0.3">
      <c r="B16" t="s">
        <v>12</v>
      </c>
      <c r="C16" t="s">
        <v>13</v>
      </c>
      <c r="D16" s="1">
        <v>47500</v>
      </c>
      <c r="E16" s="2">
        <v>21000</v>
      </c>
      <c r="F16" s="1">
        <v>2375</v>
      </c>
      <c r="G16" t="s">
        <v>8</v>
      </c>
      <c r="H16" s="1">
        <f>VentasPorPais910[[#This Row],[Ventas Enero]]-VentasPorPais910[[#This Row],[Descuentos]]</f>
        <v>45125</v>
      </c>
      <c r="I16" s="4"/>
      <c r="J16" s="4"/>
      <c r="K16" s="4"/>
      <c r="L16" s="4"/>
      <c r="M16" s="4"/>
      <c r="N16" s="4"/>
    </row>
    <row r="17" spans="2:14" x14ac:dyDescent="0.3">
      <c r="B17" t="s">
        <v>19</v>
      </c>
      <c r="C17" t="s">
        <v>20</v>
      </c>
      <c r="D17" s="1">
        <v>54000</v>
      </c>
      <c r="E17" s="2">
        <v>22000</v>
      </c>
      <c r="F17" s="1">
        <v>2700</v>
      </c>
      <c r="G17" t="s">
        <v>21</v>
      </c>
      <c r="H17" s="1">
        <f>VentasPorPais910[[#This Row],[Ventas Enero]]-VentasPorPais910[[#This Row],[Descuentos]]</f>
        <v>51300</v>
      </c>
      <c r="I17" s="4"/>
      <c r="J17" s="4"/>
      <c r="K17" s="4"/>
      <c r="L17" s="4"/>
      <c r="M17" s="4"/>
      <c r="N17" s="4"/>
    </row>
    <row r="18" spans="2:14" x14ac:dyDescent="0.3">
      <c r="B18" t="s">
        <v>17</v>
      </c>
      <c r="C18" t="s">
        <v>25</v>
      </c>
      <c r="D18" s="1">
        <v>52000</v>
      </c>
      <c r="E18" s="2">
        <v>24000</v>
      </c>
      <c r="F18" s="1">
        <v>2600</v>
      </c>
      <c r="G18" t="s">
        <v>16</v>
      </c>
      <c r="H18" s="1">
        <f>VentasPorPais910[[#This Row],[Ventas Enero]]-VentasPorPais910[[#This Row],[Descuentos]]</f>
        <v>49400</v>
      </c>
    </row>
    <row r="19" spans="2:14" ht="14.4" customHeight="1" x14ac:dyDescent="0.3">
      <c r="B19" t="s">
        <v>26</v>
      </c>
      <c r="C19" t="s">
        <v>15</v>
      </c>
      <c r="D19" s="1">
        <v>57000</v>
      </c>
      <c r="E19" s="2">
        <v>25000</v>
      </c>
      <c r="F19" s="1">
        <v>2850</v>
      </c>
      <c r="G19" t="s">
        <v>11</v>
      </c>
      <c r="H19" s="1">
        <f>VentasPorPais910[[#This Row],[Ventas Enero]]-VentasPorPais910[[#This Row],[Descuentos]]</f>
        <v>54150</v>
      </c>
      <c r="I19" s="4"/>
      <c r="J19" s="4"/>
      <c r="K19" s="4"/>
      <c r="L19" s="4"/>
      <c r="M19" s="4"/>
      <c r="N19" s="4"/>
    </row>
    <row r="20" spans="2:14" x14ac:dyDescent="0.3">
      <c r="B20" t="s">
        <v>9</v>
      </c>
      <c r="C20" t="s">
        <v>10</v>
      </c>
      <c r="D20" s="1">
        <v>62000</v>
      </c>
      <c r="E20" s="2">
        <v>28000</v>
      </c>
      <c r="F20" s="1">
        <v>3720</v>
      </c>
      <c r="G20" t="s">
        <v>11</v>
      </c>
      <c r="H20" s="1">
        <f>VentasPorPais910[[#This Row],[Ventas Enero]]-VentasPorPais910[[#This Row],[Descuentos]]</f>
        <v>58280</v>
      </c>
      <c r="I20" s="4"/>
      <c r="J20" s="4"/>
      <c r="K20" s="4"/>
      <c r="L20" s="4"/>
      <c r="M20" s="4"/>
      <c r="N20" s="4"/>
    </row>
    <row r="21" spans="2:14" x14ac:dyDescent="0.3">
      <c r="B21" t="s">
        <v>28</v>
      </c>
      <c r="C21" t="s">
        <v>13</v>
      </c>
      <c r="D21" s="1">
        <v>67000</v>
      </c>
      <c r="E21" s="2">
        <v>29000</v>
      </c>
      <c r="F21" s="1">
        <v>3350</v>
      </c>
      <c r="G21" t="s">
        <v>11</v>
      </c>
      <c r="H21" s="1">
        <f>VentasPorPais910[[#This Row],[Ventas Enero]]-VentasPorPais910[[#This Row],[Descuentos]]</f>
        <v>63650</v>
      </c>
    </row>
    <row r="22" spans="2:14" x14ac:dyDescent="0.3">
      <c r="B22" t="s">
        <v>6</v>
      </c>
      <c r="C22" t="s">
        <v>15</v>
      </c>
      <c r="D22" s="1">
        <v>78000</v>
      </c>
      <c r="E22" s="2">
        <v>33000</v>
      </c>
      <c r="F22" s="1">
        <v>3900</v>
      </c>
      <c r="G22" t="s">
        <v>16</v>
      </c>
      <c r="H22" s="1">
        <f>VentasPorPais910[[#This Row],[Ventas Enero]]-VentasPorPais910[[#This Row],[Descuentos]]</f>
        <v>74100</v>
      </c>
    </row>
    <row r="23" spans="2:14" x14ac:dyDescent="0.3">
      <c r="B23" t="s">
        <v>14</v>
      </c>
      <c r="C23" t="s">
        <v>15</v>
      </c>
      <c r="D23" s="1">
        <v>91000</v>
      </c>
      <c r="E23" s="2">
        <v>38000</v>
      </c>
      <c r="F23" s="1">
        <v>4550</v>
      </c>
      <c r="G23" t="s">
        <v>16</v>
      </c>
      <c r="H23" s="1">
        <f>VentasPorPais910[[#This Row],[Ventas Enero]]-VentasPorPais910[[#This Row],[Descuentos]]</f>
        <v>86450</v>
      </c>
    </row>
    <row r="24" spans="2:14" x14ac:dyDescent="0.3">
      <c r="B24" t="s">
        <v>6</v>
      </c>
      <c r="C24" t="s">
        <v>7</v>
      </c>
      <c r="D24" s="1">
        <v>85000</v>
      </c>
      <c r="E24" s="2">
        <v>42000</v>
      </c>
      <c r="F24" s="1">
        <v>5100</v>
      </c>
      <c r="G24" t="s">
        <v>8</v>
      </c>
      <c r="H24" s="1">
        <f>VentasPorPais910[[#This Row],[Ventas Enero]]-VentasPorPais910[[#This Row],[Descuentos]]</f>
        <v>79900</v>
      </c>
    </row>
    <row r="25" spans="2:14" x14ac:dyDescent="0.3">
      <c r="B25" t="s">
        <v>38</v>
      </c>
      <c r="C25" t="s">
        <v>20</v>
      </c>
      <c r="D25" s="1">
        <v>100000</v>
      </c>
      <c r="E25" s="2">
        <v>48000</v>
      </c>
      <c r="F25" s="1">
        <v>55000</v>
      </c>
      <c r="G25" t="s">
        <v>8</v>
      </c>
      <c r="H25" s="1">
        <f>VentasPorPais910[[#This Row],[Ventas Enero]]-VentasPorPais910[[#This Row],[Descuentos]]</f>
        <v>45000</v>
      </c>
    </row>
    <row r="26" spans="2:14" x14ac:dyDescent="0.3">
      <c r="B26" t="s">
        <v>14</v>
      </c>
      <c r="C26" t="s">
        <v>7</v>
      </c>
      <c r="D26" s="1">
        <v>110000</v>
      </c>
      <c r="E26" s="2">
        <v>48000</v>
      </c>
      <c r="F26" s="1">
        <v>5500</v>
      </c>
      <c r="G26" t="s">
        <v>16</v>
      </c>
      <c r="H26" s="1">
        <f>VentasPorPais910[[#This Row],[Ventas Enero]]-VentasPorPais910[[#This Row],[Descuentos]]</f>
        <v>104500</v>
      </c>
    </row>
  </sheetData>
  <mergeCells count="3">
    <mergeCell ref="J5:O6"/>
    <mergeCell ref="J8:O9"/>
    <mergeCell ref="J11:O1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E157F-3EE8-418E-9015-35D340145F75}">
  <sheetPr>
    <tabColor theme="7" tint="0.39997558519241921"/>
  </sheetPr>
  <dimension ref="B4:O27"/>
  <sheetViews>
    <sheetView topLeftCell="A4" workbookViewId="0">
      <selection activeCell="J17" sqref="J17"/>
    </sheetView>
  </sheetViews>
  <sheetFormatPr defaultRowHeight="14.4" x14ac:dyDescent="0.3"/>
  <cols>
    <col min="2" max="2" width="13.21875" customWidth="1"/>
    <col min="3" max="3" width="17.77734375" customWidth="1"/>
    <col min="4" max="4" width="19" customWidth="1"/>
    <col min="5" max="5" width="17.6640625" customWidth="1"/>
    <col min="6" max="6" width="16.77734375" customWidth="1"/>
    <col min="7" max="7" width="20.77734375" customWidth="1"/>
    <col min="8" max="8" width="22.109375" customWidth="1"/>
  </cols>
  <sheetData>
    <row r="4" spans="2:15" ht="15.6" x14ac:dyDescent="0.3">
      <c r="B4" s="3" t="s">
        <v>0</v>
      </c>
      <c r="C4" s="3" t="s">
        <v>1</v>
      </c>
      <c r="D4" s="3" t="s">
        <v>2</v>
      </c>
      <c r="E4" s="3" t="s">
        <v>3</v>
      </c>
      <c r="F4" s="3" t="s">
        <v>4</v>
      </c>
      <c r="G4" s="3" t="s">
        <v>5</v>
      </c>
      <c r="H4" s="3" t="s">
        <v>40</v>
      </c>
    </row>
    <row r="5" spans="2:15" ht="14.4" customHeight="1" x14ac:dyDescent="0.3">
      <c r="B5" t="s">
        <v>22</v>
      </c>
      <c r="C5" t="s">
        <v>23</v>
      </c>
      <c r="D5" s="1">
        <v>18500</v>
      </c>
      <c r="E5" s="2">
        <v>7200</v>
      </c>
      <c r="F5" s="1">
        <v>925</v>
      </c>
      <c r="G5" t="s">
        <v>8</v>
      </c>
      <c r="H5" s="1">
        <f>VentasPorPais91013[[#This Row],[Ventas Enero]]-VentasPorPais91013[[#This Row],[Descuentos]]</f>
        <v>17575</v>
      </c>
      <c r="J5" s="9" t="s">
        <v>44</v>
      </c>
      <c r="K5" s="9"/>
      <c r="L5" s="9"/>
      <c r="M5" s="9"/>
      <c r="N5" s="9"/>
      <c r="O5" s="9"/>
    </row>
    <row r="6" spans="2:15" x14ac:dyDescent="0.3">
      <c r="B6" t="s">
        <v>28</v>
      </c>
      <c r="C6" t="s">
        <v>18</v>
      </c>
      <c r="D6" s="1">
        <v>19500</v>
      </c>
      <c r="E6" s="2">
        <v>8000</v>
      </c>
      <c r="F6" s="1">
        <v>975</v>
      </c>
      <c r="G6" t="s">
        <v>8</v>
      </c>
      <c r="H6" s="1">
        <f>VentasPorPais91013[[#This Row],[Ventas Enero]]-VentasPorPais91013[[#This Row],[Descuentos]]</f>
        <v>18525</v>
      </c>
      <c r="J6" s="9"/>
      <c r="K6" s="9"/>
      <c r="L6" s="9"/>
      <c r="M6" s="9"/>
      <c r="N6" s="9"/>
      <c r="O6" s="9"/>
    </row>
    <row r="7" spans="2:15" x14ac:dyDescent="0.3">
      <c r="B7" t="s">
        <v>28</v>
      </c>
      <c r="C7" t="s">
        <v>10</v>
      </c>
      <c r="D7" s="1">
        <v>29000</v>
      </c>
      <c r="E7" s="2">
        <v>9000</v>
      </c>
      <c r="F7" s="1">
        <v>150</v>
      </c>
      <c r="G7" t="s">
        <v>11</v>
      </c>
      <c r="H7" s="1">
        <f>VentasPorPais91013[[#This Row],[Ventas Enero]]-VentasPorPais91013[[#This Row],[Descuentos]]</f>
        <v>28850</v>
      </c>
      <c r="J7" s="4"/>
      <c r="K7" s="4"/>
      <c r="L7" s="4"/>
      <c r="M7" s="4"/>
      <c r="N7" s="4"/>
      <c r="O7" s="4"/>
    </row>
    <row r="8" spans="2:15" x14ac:dyDescent="0.3">
      <c r="B8" t="s">
        <v>17</v>
      </c>
      <c r="C8" t="s">
        <v>18</v>
      </c>
      <c r="D8" s="1">
        <v>23000</v>
      </c>
      <c r="E8" s="2">
        <v>9500</v>
      </c>
      <c r="F8" s="1">
        <v>1150</v>
      </c>
      <c r="G8" t="s">
        <v>8</v>
      </c>
      <c r="H8" s="1">
        <f>VentasPorPais91013[[#This Row],[Ventas Enero]]-VentasPorPais91013[[#This Row],[Descuentos]]</f>
        <v>21850</v>
      </c>
      <c r="J8" s="9" t="s">
        <v>45</v>
      </c>
      <c r="K8" s="9"/>
      <c r="L8" s="9"/>
      <c r="M8" s="9"/>
      <c r="N8" s="9"/>
      <c r="O8" s="9"/>
    </row>
    <row r="9" spans="2:15" x14ac:dyDescent="0.3">
      <c r="B9" t="s">
        <v>19</v>
      </c>
      <c r="C9" t="s">
        <v>23</v>
      </c>
      <c r="D9" s="1">
        <v>26000</v>
      </c>
      <c r="E9" s="2">
        <v>10500</v>
      </c>
      <c r="F9" s="1">
        <v>1300</v>
      </c>
      <c r="G9" t="s">
        <v>11</v>
      </c>
      <c r="H9" s="1">
        <f>VentasPorPais91013[[#This Row],[Ventas Enero]]-VentasPorPais91013[[#This Row],[Descuentos]]</f>
        <v>24700</v>
      </c>
      <c r="J9" s="9"/>
      <c r="K9" s="9"/>
      <c r="L9" s="9"/>
      <c r="M9" s="9"/>
      <c r="N9" s="9"/>
      <c r="O9" s="9"/>
    </row>
    <row r="10" spans="2:15" x14ac:dyDescent="0.3">
      <c r="B10" t="s">
        <v>9</v>
      </c>
      <c r="C10" t="s">
        <v>18</v>
      </c>
      <c r="D10" s="1">
        <v>31000</v>
      </c>
      <c r="E10" s="2">
        <v>12000</v>
      </c>
      <c r="F10" s="1">
        <v>1550</v>
      </c>
      <c r="G10" t="s">
        <v>21</v>
      </c>
      <c r="H10" s="1">
        <f>VentasPorPais91013[[#This Row],[Ventas Enero]]-VentasPorPais91013[[#This Row],[Descuentos]]</f>
        <v>29450</v>
      </c>
      <c r="J10" s="4"/>
      <c r="K10" s="4"/>
      <c r="L10" s="4"/>
      <c r="M10" s="4"/>
      <c r="N10" s="4"/>
      <c r="O10" s="4"/>
    </row>
    <row r="11" spans="2:15" x14ac:dyDescent="0.3">
      <c r="B11" t="s">
        <v>26</v>
      </c>
      <c r="C11" t="s">
        <v>7</v>
      </c>
      <c r="D11" s="1">
        <v>29000</v>
      </c>
      <c r="E11" s="2">
        <v>13500</v>
      </c>
      <c r="F11" s="1">
        <v>1450</v>
      </c>
      <c r="G11" t="s">
        <v>16</v>
      </c>
      <c r="H11" s="1">
        <f>VentasPorPais91013[[#This Row],[Ventas Enero]]-VentasPorPais91013[[#This Row],[Descuentos]]</f>
        <v>27550</v>
      </c>
      <c r="J11" s="9" t="s">
        <v>46</v>
      </c>
      <c r="K11" s="9"/>
      <c r="L11" s="9"/>
      <c r="M11" s="9"/>
      <c r="N11" s="9"/>
      <c r="O11" s="9"/>
    </row>
    <row r="12" spans="2:15" x14ac:dyDescent="0.3">
      <c r="B12" t="s">
        <v>24</v>
      </c>
      <c r="C12" t="s">
        <v>25</v>
      </c>
      <c r="D12" s="1">
        <v>36000</v>
      </c>
      <c r="E12" s="2">
        <v>16000</v>
      </c>
      <c r="F12" s="1">
        <v>1800</v>
      </c>
      <c r="G12" t="s">
        <v>11</v>
      </c>
      <c r="H12" s="1">
        <f>VentasPorPais91013[[#This Row],[Ventas Enero]]-VentasPorPais91013[[#This Row],[Descuentos]]</f>
        <v>34200</v>
      </c>
      <c r="J12" s="9"/>
      <c r="K12" s="9"/>
      <c r="L12" s="9"/>
      <c r="M12" s="9"/>
      <c r="N12" s="9"/>
      <c r="O12" s="9"/>
    </row>
    <row r="13" spans="2:15" x14ac:dyDescent="0.3">
      <c r="B13" t="s">
        <v>22</v>
      </c>
      <c r="C13" t="s">
        <v>10</v>
      </c>
      <c r="D13" s="1">
        <v>38000</v>
      </c>
      <c r="E13" s="2">
        <v>16500</v>
      </c>
      <c r="F13" s="1">
        <v>1900</v>
      </c>
      <c r="G13" t="s">
        <v>21</v>
      </c>
      <c r="H13" s="1">
        <f>VentasPorPais91013[[#This Row],[Ventas Enero]]-VentasPorPais91013[[#This Row],[Descuentos]]</f>
        <v>36100</v>
      </c>
      <c r="J13" s="4"/>
      <c r="K13" s="4"/>
      <c r="L13" s="4"/>
      <c r="M13" s="4"/>
      <c r="N13" s="4"/>
      <c r="O13" s="4"/>
    </row>
    <row r="14" spans="2:15" x14ac:dyDescent="0.3">
      <c r="B14" t="s">
        <v>27</v>
      </c>
      <c r="C14" t="s">
        <v>10</v>
      </c>
      <c r="D14" s="1">
        <v>41000</v>
      </c>
      <c r="E14" s="2">
        <v>18000</v>
      </c>
      <c r="F14" s="1">
        <v>2050</v>
      </c>
      <c r="G14" t="s">
        <v>21</v>
      </c>
      <c r="H14" s="1">
        <f>VentasPorPais91013[[#This Row],[Ventas Enero]]-VentasPorPais91013[[#This Row],[Descuentos]]</f>
        <v>38950</v>
      </c>
      <c r="J14" s="5"/>
      <c r="K14" s="5"/>
      <c r="L14" s="5"/>
      <c r="M14" s="5"/>
      <c r="N14" s="5"/>
      <c r="O14" s="5"/>
    </row>
    <row r="15" spans="2:15" x14ac:dyDescent="0.3">
      <c r="B15" t="s">
        <v>12</v>
      </c>
      <c r="C15" t="s">
        <v>20</v>
      </c>
      <c r="D15" s="1">
        <v>44000</v>
      </c>
      <c r="E15" s="2">
        <v>19500</v>
      </c>
      <c r="F15" s="1">
        <v>2200</v>
      </c>
      <c r="G15" t="s">
        <v>8</v>
      </c>
      <c r="H15" s="1">
        <f>VentasPorPais91013[[#This Row],[Ventas Enero]]-VentasPorPais91013[[#This Row],[Descuentos]]</f>
        <v>41800</v>
      </c>
      <c r="J15" s="5"/>
      <c r="K15" s="5"/>
      <c r="L15" s="5"/>
      <c r="M15" s="5"/>
      <c r="N15" s="5"/>
      <c r="O15" s="5"/>
    </row>
    <row r="16" spans="2:15" x14ac:dyDescent="0.3">
      <c r="B16" t="s">
        <v>12</v>
      </c>
      <c r="C16" t="s">
        <v>13</v>
      </c>
      <c r="D16" s="1">
        <v>47500</v>
      </c>
      <c r="E16" s="2">
        <v>21000</v>
      </c>
      <c r="F16" s="1">
        <v>2375</v>
      </c>
      <c r="G16" t="s">
        <v>8</v>
      </c>
      <c r="H16" s="1">
        <f>VentasPorPais91013[[#This Row],[Ventas Enero]]-VentasPorPais91013[[#This Row],[Descuentos]]</f>
        <v>45125</v>
      </c>
      <c r="I16" s="4"/>
      <c r="J16" s="4"/>
      <c r="K16" s="4"/>
      <c r="L16" s="4"/>
      <c r="M16" s="4"/>
      <c r="N16" s="4"/>
    </row>
    <row r="17" spans="2:14" x14ac:dyDescent="0.3">
      <c r="B17" t="s">
        <v>19</v>
      </c>
      <c r="C17" t="s">
        <v>20</v>
      </c>
      <c r="D17" s="1">
        <v>54000</v>
      </c>
      <c r="E17" s="2">
        <v>22000</v>
      </c>
      <c r="F17" s="1">
        <v>2700</v>
      </c>
      <c r="G17" t="s">
        <v>21</v>
      </c>
      <c r="H17" s="1">
        <f>VentasPorPais91013[[#This Row],[Ventas Enero]]-VentasPorPais91013[[#This Row],[Descuentos]]</f>
        <v>51300</v>
      </c>
      <c r="I17" s="4"/>
      <c r="J17" s="4"/>
      <c r="K17" s="4"/>
      <c r="L17" s="4"/>
      <c r="M17" s="4"/>
      <c r="N17" s="4"/>
    </row>
    <row r="18" spans="2:14" x14ac:dyDescent="0.3">
      <c r="B18" t="s">
        <v>17</v>
      </c>
      <c r="C18" t="s">
        <v>25</v>
      </c>
      <c r="D18" s="1">
        <v>52000</v>
      </c>
      <c r="E18" s="2">
        <v>24000</v>
      </c>
      <c r="F18" s="1">
        <v>2600</v>
      </c>
      <c r="G18" t="s">
        <v>16</v>
      </c>
      <c r="H18" s="1">
        <f>VentasPorPais91013[[#This Row],[Ventas Enero]]-VentasPorPais91013[[#This Row],[Descuentos]]</f>
        <v>49400</v>
      </c>
    </row>
    <row r="19" spans="2:14" ht="14.4" customHeight="1" x14ac:dyDescent="0.3">
      <c r="B19" t="s">
        <v>26</v>
      </c>
      <c r="C19" t="s">
        <v>15</v>
      </c>
      <c r="D19" s="1">
        <v>57000</v>
      </c>
      <c r="E19" s="2">
        <v>25000</v>
      </c>
      <c r="F19" s="1">
        <v>2850</v>
      </c>
      <c r="G19" t="s">
        <v>11</v>
      </c>
      <c r="H19" s="1">
        <f>VentasPorPais91013[[#This Row],[Ventas Enero]]-VentasPorPais91013[[#This Row],[Descuentos]]</f>
        <v>54150</v>
      </c>
      <c r="I19" s="4"/>
      <c r="J19" s="4"/>
      <c r="K19" s="4"/>
      <c r="L19" s="4"/>
      <c r="M19" s="4"/>
      <c r="N19" s="4"/>
    </row>
    <row r="20" spans="2:14" x14ac:dyDescent="0.3">
      <c r="B20" t="s">
        <v>9</v>
      </c>
      <c r="C20" t="s">
        <v>10</v>
      </c>
      <c r="D20" s="1">
        <v>62000</v>
      </c>
      <c r="E20" s="2">
        <v>28000</v>
      </c>
      <c r="F20" s="1">
        <v>3720</v>
      </c>
      <c r="G20" t="s">
        <v>11</v>
      </c>
      <c r="H20" s="1">
        <f>VentasPorPais91013[[#This Row],[Ventas Enero]]-VentasPorPais91013[[#This Row],[Descuentos]]</f>
        <v>58280</v>
      </c>
      <c r="I20" s="4"/>
      <c r="J20" s="4"/>
      <c r="K20" s="4"/>
      <c r="L20" s="4"/>
      <c r="M20" s="4"/>
      <c r="N20" s="4"/>
    </row>
    <row r="21" spans="2:14" x14ac:dyDescent="0.3">
      <c r="B21" t="s">
        <v>28</v>
      </c>
      <c r="C21" t="s">
        <v>13</v>
      </c>
      <c r="D21" s="1">
        <v>67000</v>
      </c>
      <c r="E21" s="2">
        <v>29000</v>
      </c>
      <c r="F21" s="1">
        <v>3350</v>
      </c>
      <c r="G21" t="s">
        <v>11</v>
      </c>
      <c r="H21" s="1">
        <f>VentasPorPais91013[[#This Row],[Ventas Enero]]-VentasPorPais91013[[#This Row],[Descuentos]]</f>
        <v>63650</v>
      </c>
    </row>
    <row r="22" spans="2:14" x14ac:dyDescent="0.3">
      <c r="B22" t="s">
        <v>6</v>
      </c>
      <c r="C22" t="s">
        <v>15</v>
      </c>
      <c r="D22" s="1">
        <v>78000</v>
      </c>
      <c r="E22" s="2">
        <v>33000</v>
      </c>
      <c r="F22" s="1">
        <v>3900</v>
      </c>
      <c r="G22" t="s">
        <v>16</v>
      </c>
      <c r="H22" s="1">
        <f>VentasPorPais91013[[#This Row],[Ventas Enero]]-VentasPorPais91013[[#This Row],[Descuentos]]</f>
        <v>74100</v>
      </c>
    </row>
    <row r="23" spans="2:14" x14ac:dyDescent="0.3">
      <c r="B23" t="s">
        <v>14</v>
      </c>
      <c r="C23" t="s">
        <v>15</v>
      </c>
      <c r="D23" s="1">
        <v>91000</v>
      </c>
      <c r="E23" s="2">
        <v>38000</v>
      </c>
      <c r="F23" s="1">
        <v>4550</v>
      </c>
      <c r="G23" t="s">
        <v>16</v>
      </c>
      <c r="H23" s="1">
        <f>VentasPorPais91013[[#This Row],[Ventas Enero]]-VentasPorPais91013[[#This Row],[Descuentos]]</f>
        <v>86450</v>
      </c>
    </row>
    <row r="24" spans="2:14" x14ac:dyDescent="0.3">
      <c r="B24" t="s">
        <v>6</v>
      </c>
      <c r="C24" t="s">
        <v>7</v>
      </c>
      <c r="D24" s="1">
        <v>85000</v>
      </c>
      <c r="E24" s="2">
        <v>42000</v>
      </c>
      <c r="F24" s="1">
        <v>5100</v>
      </c>
      <c r="G24" t="s">
        <v>8</v>
      </c>
      <c r="H24" s="1">
        <f>VentasPorPais91013[[#This Row],[Ventas Enero]]-VentasPorPais91013[[#This Row],[Descuentos]]</f>
        <v>79900</v>
      </c>
    </row>
    <row r="25" spans="2:14" x14ac:dyDescent="0.3">
      <c r="B25" t="s">
        <v>38</v>
      </c>
      <c r="C25" t="s">
        <v>20</v>
      </c>
      <c r="D25" s="1">
        <v>100000</v>
      </c>
      <c r="E25" s="2">
        <v>48000</v>
      </c>
      <c r="F25" s="1">
        <v>55000</v>
      </c>
      <c r="G25" t="s">
        <v>8</v>
      </c>
      <c r="H25" s="1">
        <f>VentasPorPais91013[[#This Row],[Ventas Enero]]-VentasPorPais91013[[#This Row],[Descuentos]]</f>
        <v>45000</v>
      </c>
    </row>
    <row r="26" spans="2:14" x14ac:dyDescent="0.3">
      <c r="B26" t="s">
        <v>14</v>
      </c>
      <c r="C26" t="s">
        <v>7</v>
      </c>
      <c r="D26" s="1">
        <v>110000</v>
      </c>
      <c r="E26" s="2">
        <v>48000</v>
      </c>
      <c r="F26" s="1">
        <v>5500</v>
      </c>
      <c r="G26" t="s">
        <v>16</v>
      </c>
      <c r="H26" s="1">
        <f>VentasPorPais91013[[#This Row],[Ventas Enero]]-VentasPorPais91013[[#This Row],[Descuentos]]</f>
        <v>104500</v>
      </c>
    </row>
    <row r="27" spans="2:14" x14ac:dyDescent="0.3">
      <c r="B27" t="s">
        <v>32</v>
      </c>
      <c r="D27" s="1">
        <f>SUBTOTAL(101,VentasPorPais91013[Ventas Enero])</f>
        <v>51750</v>
      </c>
      <c r="E27" s="1">
        <f>SUBTOTAL(101,VentasPorPais91013[Gastos])</f>
        <v>22622.727272727272</v>
      </c>
      <c r="F27" s="1">
        <f>SUBTOTAL(101,VentasPorPais91013[Descuentos])</f>
        <v>4867.954545454545</v>
      </c>
      <c r="H27" s="1">
        <f>SUBTOTAL(104,VentasPorPais91013[Monto Descuento])</f>
        <v>104500</v>
      </c>
    </row>
  </sheetData>
  <mergeCells count="3">
    <mergeCell ref="J5:O6"/>
    <mergeCell ref="J8:O9"/>
    <mergeCell ref="J11:O12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6E5BE-BC9A-4331-A8CA-2B073BFC3CAD}">
  <sheetPr>
    <tabColor theme="0" tint="-0.249977111117893"/>
  </sheetPr>
  <dimension ref="B3:K23"/>
  <sheetViews>
    <sheetView tabSelected="1" workbookViewId="0">
      <selection activeCell="J12" sqref="J12"/>
    </sheetView>
  </sheetViews>
  <sheetFormatPr defaultRowHeight="14.4" x14ac:dyDescent="0.3"/>
  <cols>
    <col min="2" max="2" width="8.77734375" bestFit="1" customWidth="1"/>
    <col min="3" max="3" width="8.44140625" bestFit="1" customWidth="1"/>
    <col min="4" max="4" width="13.44140625" bestFit="1" customWidth="1"/>
    <col min="6" max="6" width="10.44140625" customWidth="1"/>
    <col min="7" max="7" width="14.5546875" customWidth="1"/>
    <col min="8" max="8" width="19.33203125" customWidth="1"/>
    <col min="9" max="9" width="20.88671875" customWidth="1"/>
    <col min="10" max="10" width="19.77734375" customWidth="1"/>
    <col min="11" max="11" width="20.88671875" customWidth="1"/>
  </cols>
  <sheetData>
    <row r="3" spans="2:11" ht="15.6" x14ac:dyDescent="0.3">
      <c r="B3" t="s">
        <v>47</v>
      </c>
      <c r="C3" t="s">
        <v>1</v>
      </c>
      <c r="D3" t="s">
        <v>2</v>
      </c>
      <c r="F3" s="7" t="s">
        <v>0</v>
      </c>
      <c r="G3" s="7" t="s">
        <v>1</v>
      </c>
      <c r="H3" s="7" t="s">
        <v>2</v>
      </c>
      <c r="I3" s="7" t="s">
        <v>50</v>
      </c>
      <c r="J3" s="7" t="s">
        <v>51</v>
      </c>
      <c r="K3" s="7" t="s">
        <v>52</v>
      </c>
    </row>
    <row r="4" spans="2:11" x14ac:dyDescent="0.3">
      <c r="B4" t="s">
        <v>48</v>
      </c>
      <c r="C4">
        <v>12</v>
      </c>
      <c r="D4">
        <v>10000</v>
      </c>
      <c r="F4" t="s">
        <v>48</v>
      </c>
      <c r="G4">
        <v>36</v>
      </c>
      <c r="H4" s="2">
        <v>10000</v>
      </c>
      <c r="I4" s="2">
        <v>10000</v>
      </c>
      <c r="J4" s="2">
        <v>10000</v>
      </c>
      <c r="K4" s="2">
        <f>SUM(Table13[[#This Row],[Ventas Enero]:[Ventas Marzo]])</f>
        <v>30000</v>
      </c>
    </row>
    <row r="5" spans="2:11" x14ac:dyDescent="0.3">
      <c r="B5" t="s">
        <v>49</v>
      </c>
      <c r="C5">
        <v>155</v>
      </c>
      <c r="D5">
        <v>1500</v>
      </c>
      <c r="F5" t="s">
        <v>49</v>
      </c>
      <c r="G5">
        <v>465</v>
      </c>
      <c r="H5" s="2">
        <v>1500</v>
      </c>
      <c r="I5" s="2">
        <v>1500</v>
      </c>
      <c r="J5" s="2">
        <v>1500</v>
      </c>
      <c r="K5" s="2">
        <f>SUM(Table13[[#This Row],[Ventas Enero]:[Ventas Marzo]])</f>
        <v>4500</v>
      </c>
    </row>
    <row r="6" spans="2:11" x14ac:dyDescent="0.3">
      <c r="B6" t="s">
        <v>14</v>
      </c>
      <c r="C6">
        <v>22</v>
      </c>
      <c r="D6">
        <v>1233</v>
      </c>
      <c r="F6" t="s">
        <v>14</v>
      </c>
      <c r="G6">
        <v>66</v>
      </c>
      <c r="H6" s="2">
        <v>1233</v>
      </c>
      <c r="I6" s="2">
        <v>1233</v>
      </c>
      <c r="J6" s="2">
        <v>1233</v>
      </c>
      <c r="K6" s="2">
        <f>SUM(Table13[[#This Row],[Ventas Enero]:[Ventas Marzo]])</f>
        <v>3699</v>
      </c>
    </row>
    <row r="7" spans="2:11" x14ac:dyDescent="0.3">
      <c r="B7" t="s">
        <v>22</v>
      </c>
      <c r="C7">
        <v>51</v>
      </c>
      <c r="D7">
        <v>15555</v>
      </c>
      <c r="F7" t="s">
        <v>22</v>
      </c>
      <c r="G7">
        <v>153</v>
      </c>
      <c r="H7" s="2">
        <v>15555</v>
      </c>
      <c r="I7" s="2">
        <v>15555</v>
      </c>
      <c r="J7" s="2">
        <v>15555</v>
      </c>
      <c r="K7" s="2">
        <f>SUM(Table13[[#This Row],[Ventas Enero]:[Ventas Marzo]])</f>
        <v>46665</v>
      </c>
    </row>
    <row r="8" spans="2:11" x14ac:dyDescent="0.3">
      <c r="F8" t="s">
        <v>32</v>
      </c>
      <c r="K8" s="1">
        <f>SUBTOTAL(109,Table13[Total País])</f>
        <v>84864</v>
      </c>
    </row>
    <row r="11" spans="2:11" ht="14.4" customHeight="1" x14ac:dyDescent="0.3">
      <c r="B11" t="s">
        <v>47</v>
      </c>
      <c r="C11" t="s">
        <v>1</v>
      </c>
      <c r="D11" t="s">
        <v>50</v>
      </c>
      <c r="F11" s="10" t="s">
        <v>53</v>
      </c>
      <c r="G11" s="10"/>
      <c r="H11" s="10"/>
      <c r="I11" s="10"/>
    </row>
    <row r="12" spans="2:11" x14ac:dyDescent="0.3">
      <c r="B12" t="s">
        <v>48</v>
      </c>
      <c r="C12">
        <v>12</v>
      </c>
      <c r="D12">
        <v>10000</v>
      </c>
      <c r="F12" s="10"/>
      <c r="G12" s="10"/>
      <c r="H12" s="10"/>
      <c r="I12" s="10"/>
    </row>
    <row r="13" spans="2:11" x14ac:dyDescent="0.3">
      <c r="B13" t="s">
        <v>49</v>
      </c>
      <c r="C13">
        <v>155</v>
      </c>
      <c r="D13">
        <v>1500</v>
      </c>
    </row>
    <row r="14" spans="2:11" x14ac:dyDescent="0.3">
      <c r="B14" t="s">
        <v>14</v>
      </c>
      <c r="C14">
        <v>22</v>
      </c>
      <c r="D14">
        <v>1233</v>
      </c>
      <c r="F14" s="10" t="s">
        <v>57</v>
      </c>
      <c r="G14" s="10"/>
      <c r="H14" s="10"/>
      <c r="I14" s="10"/>
    </row>
    <row r="15" spans="2:11" x14ac:dyDescent="0.3">
      <c r="B15" t="s">
        <v>22</v>
      </c>
      <c r="C15">
        <v>51</v>
      </c>
      <c r="D15">
        <v>15555</v>
      </c>
      <c r="F15" s="10"/>
      <c r="G15" s="10"/>
      <c r="H15" s="10"/>
      <c r="I15" s="10"/>
    </row>
    <row r="17" spans="2:9" ht="14.4" customHeight="1" x14ac:dyDescent="0.3">
      <c r="F17" s="8"/>
      <c r="G17" s="8"/>
      <c r="H17" s="8"/>
      <c r="I17" s="8"/>
    </row>
    <row r="18" spans="2:9" x14ac:dyDescent="0.3">
      <c r="F18" s="8"/>
      <c r="G18" s="8"/>
      <c r="H18" s="8"/>
      <c r="I18" s="8"/>
    </row>
    <row r="19" spans="2:9" x14ac:dyDescent="0.3">
      <c r="B19" t="s">
        <v>47</v>
      </c>
      <c r="C19" t="s">
        <v>1</v>
      </c>
      <c r="D19" t="s">
        <v>51</v>
      </c>
    </row>
    <row r="20" spans="2:9" x14ac:dyDescent="0.3">
      <c r="B20" t="s">
        <v>48</v>
      </c>
      <c r="C20">
        <v>12</v>
      </c>
      <c r="D20">
        <v>10000</v>
      </c>
    </row>
    <row r="21" spans="2:9" x14ac:dyDescent="0.3">
      <c r="B21" t="s">
        <v>49</v>
      </c>
      <c r="C21">
        <v>155</v>
      </c>
      <c r="D21">
        <v>1500</v>
      </c>
    </row>
    <row r="22" spans="2:9" x14ac:dyDescent="0.3">
      <c r="B22" t="s">
        <v>14</v>
      </c>
      <c r="C22">
        <v>22</v>
      </c>
      <c r="D22">
        <v>1233</v>
      </c>
    </row>
    <row r="23" spans="2:9" x14ac:dyDescent="0.3">
      <c r="B23" t="s">
        <v>22</v>
      </c>
      <c r="C23">
        <v>51</v>
      </c>
      <c r="D23">
        <v>15555</v>
      </c>
    </row>
  </sheetData>
  <dataConsolidate topLabels="1">
    <dataRefs count="3">
      <dataRef ref="B3:D7" sheet="Datos Consolidados"/>
      <dataRef ref="B11:D15" sheet="Datos Consolidados"/>
      <dataRef ref="B19:D23" sheet="Datos Consolidados"/>
    </dataRefs>
  </dataConsolidate>
  <mergeCells count="2">
    <mergeCell ref="F11:I12"/>
    <mergeCell ref="F14:I15"/>
  </mergeCells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Introducción</vt:lpstr>
      <vt:lpstr>Diseño</vt:lpstr>
      <vt:lpstr>Ordenar y Filtrar</vt:lpstr>
      <vt:lpstr>Columnas Calculadas</vt:lpstr>
      <vt:lpstr>Totales y Subtotales</vt:lpstr>
      <vt:lpstr>Datos Consolidados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MARCO QUISPE HUAMAN</dc:creator>
  <cp:lastModifiedBy>JOAO MARCO QUISPE HUAMAN</cp:lastModifiedBy>
  <dcterms:created xsi:type="dcterms:W3CDTF">2026-05-31T03:15:50Z</dcterms:created>
  <dcterms:modified xsi:type="dcterms:W3CDTF">2026-07-17T20:23:34Z</dcterms:modified>
</cp:coreProperties>
</file>