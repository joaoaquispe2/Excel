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Estudio\Excel\"/>
    </mc:Choice>
  </mc:AlternateContent>
  <xr:revisionPtr revIDLastSave="0" documentId="8_{EA2EB995-D057-4C64-B7B8-C128F5CF9173}" xr6:coauthVersionLast="47" xr6:coauthVersionMax="47" xr10:uidLastSave="{00000000-0000-0000-0000-000000000000}"/>
  <bookViews>
    <workbookView xWindow="-108" yWindow="-108" windowWidth="23256" windowHeight="12456" activeTab="4" xr2:uid="{7E9D19B8-DE08-4E59-B694-1F00DB138C35}"/>
  </bookViews>
  <sheets>
    <sheet name="Íconos" sheetId="1" r:id="rId1"/>
    <sheet name="Escala de Color" sheetId="2" r:id="rId2"/>
    <sheet name="Barras" sheetId="3" r:id="rId3"/>
    <sheet name="Personalizado" sheetId="4" r:id="rId4"/>
    <sheet name="Regla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6" l="1"/>
  <c r="F18" i="6"/>
  <c r="E18" i="6"/>
  <c r="G18" i="4"/>
  <c r="F18" i="4"/>
  <c r="E18" i="4"/>
  <c r="G18" i="3"/>
  <c r="F18" i="3"/>
  <c r="E18" i="3"/>
  <c r="G18" i="2"/>
  <c r="F18" i="2"/>
  <c r="E18" i="2"/>
  <c r="E18" i="1"/>
  <c r="F18" i="1"/>
  <c r="G18" i="1"/>
</calcChain>
</file>

<file path=xl/sharedStrings.xml><?xml version="1.0" encoding="utf-8"?>
<sst xmlns="http://schemas.openxmlformats.org/spreadsheetml/2006/main" count="164" uniqueCount="36">
  <si>
    <t>Vendedor</t>
  </si>
  <si>
    <t>Zona</t>
  </si>
  <si>
    <t>Ventas ($)</t>
  </si>
  <si>
    <t>Meta ($)</t>
  </si>
  <si>
    <t>Ana</t>
  </si>
  <si>
    <t>Norte</t>
  </si>
  <si>
    <t>Luis</t>
  </si>
  <si>
    <t>Sur</t>
  </si>
  <si>
    <t>Carla</t>
  </si>
  <si>
    <t>Este</t>
  </si>
  <si>
    <t>Diego</t>
  </si>
  <si>
    <t>Oeste</t>
  </si>
  <si>
    <t>Sofía</t>
  </si>
  <si>
    <t>Pedro</t>
  </si>
  <si>
    <t>Valeria</t>
  </si>
  <si>
    <t>Miguel</t>
  </si>
  <si>
    <t>Elena</t>
  </si>
  <si>
    <t>Javier</t>
  </si>
  <si>
    <t>Rosa</t>
  </si>
  <si>
    <t>Andrés</t>
  </si>
  <si>
    <t>Cumplimeinto</t>
  </si>
  <si>
    <t>Average</t>
  </si>
  <si>
    <t>El Formato Condicional permita dar un formato específico a celdas que cumplan con una condición establecida</t>
  </si>
  <si>
    <t>Se puede Aplicar mediante la pestaña Inicio - Formato Condicional; en donde hay una serie de reglas predeterminadas que puedes usar</t>
  </si>
  <si>
    <t>También puedes crear o administrar tus propias reglas desde aquí.</t>
  </si>
  <si>
    <t>Uno de los formatos más básicos es por íconos que representen una características de los valores de las celdas</t>
  </si>
  <si>
    <t>Otro Formato Condicional predeterminado es la escala de color, se puede realizar para dos colores o hasta 3</t>
  </si>
  <si>
    <t>El útlimo formato básico es aquel que se da mediante barras horizontales que representen una carácterística de los datos</t>
  </si>
  <si>
    <t>Por último, se pueden realizar tus propios formatos modificnado colores, borde, número y otros detalles</t>
  </si>
  <si>
    <t>Al crear tus propias reglas se tienen un gran conjunto de reglas personalizadas que puedes usar, estas incluyen:</t>
  </si>
  <si>
    <t>Reglas basadas en fórmulas específicas de Excel</t>
  </si>
  <si>
    <t>Reglas en los valores de la celda</t>
  </si>
  <si>
    <t>Reglas basadas en el contenido de la celda</t>
  </si>
  <si>
    <t>Reglas para valores únicos o duplicados</t>
  </si>
  <si>
    <t>Reglas basadas en el ranking superior e inferior</t>
  </si>
  <si>
    <t>Reglas basadas en valores superiores o inferiores a promedios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</si>
</sst>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S/-280A]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0" fontId="0" fillId="0" borderId="0" xfId="0" applyNumberForma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29"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numFmt numFmtId="170" formatCode="[$S/-280A]\ #,##0.00"/>
      <alignment horizontal="right" vertical="center" textRotation="0" wrapText="0" indent="0" justifyLastLine="0" shrinkToFit="0" readingOrder="0"/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ill>
        <patternFill>
          <bgColor theme="9" tint="0.39994506668294322"/>
        </patternFill>
      </fill>
    </dxf>
    <dxf>
      <fill>
        <patternFill>
          <bgColor rgb="FFDC4B24"/>
        </patternFill>
      </fill>
    </dxf>
    <dxf>
      <fill>
        <patternFill>
          <bgColor rgb="FFDC4B24"/>
        </patternFill>
      </fill>
    </dxf>
    <dxf>
      <font>
        <b val="0"/>
        <i/>
        <strike val="0"/>
        <color theme="0" tint="-4.9989318521683403E-2"/>
      </font>
      <fill>
        <patternFill>
          <bgColor rgb="FFE96B49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B381D9"/>
        </patternFill>
      </fill>
    </dxf>
    <dxf>
      <font>
        <b val="0"/>
        <i/>
        <strike val="0"/>
        <color theme="0" tint="-4.9989318521683403E-2"/>
      </font>
      <fill>
        <patternFill>
          <bgColor rgb="FFE96B49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B381D9"/>
        </patternFill>
      </fill>
    </dxf>
    <dxf>
      <numFmt numFmtId="14" formatCode="0.00%"/>
      <alignment horizontal="right" vertical="center" textRotation="0" wrapText="0" indent="0" justifyLastLine="0" shrinkToFit="0" readingOrder="0"/>
    </dxf>
    <dxf>
      <numFmt numFmtId="14" formatCode="0.00%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bgColor rgb="FFB381D9"/>
        </patternFill>
      </fill>
    </dxf>
    <dxf>
      <font>
        <b val="0"/>
        <i/>
        <strike val="0"/>
        <color theme="0" tint="-4.9989318521683403E-2"/>
      </font>
      <fill>
        <patternFill>
          <bgColor rgb="FFE96B49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0.00%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4" formatCode="0.00%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4" formatCode="0.00%"/>
      <alignment horizontal="right" vertical="center" textRotation="0" wrapText="0" indent="0" justifyLastLine="0" shrinkToFit="0" readingOrder="0"/>
    </dxf>
    <dxf>
      <numFmt numFmtId="14" formatCode="0.00%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4" formatCode="0.00%"/>
      <alignment horizontal="right" vertical="center" textRotation="0" wrapText="0" indent="0" justifyLastLine="0" shrinkToFit="0" readingOrder="0"/>
    </dxf>
    <dxf>
      <numFmt numFmtId="14" formatCode="0.00%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4" formatCode="0.00%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4" formatCode="0.00%"/>
      <alignment horizontal="right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70" formatCode="[$S/-280A]\ 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C4B24"/>
      <color rgb="FFB381D9"/>
      <color rgb="FFE96B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B8F3D-23DB-4340-A573-780BA7A34B6E}" name="Table1" displayName="Table1" ref="C5:G18" totalsRowCount="1" headerRowDxfId="124" dataDxfId="127">
  <autoFilter ref="C5:G17" xr:uid="{FC0B8F3D-23DB-4340-A573-780BA7A34B6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32E904D-746D-4AA1-A0DE-FD884F5AA64F}" name="Vendedor" totalsRowLabel="Average" dataDxfId="128" totalsRowDxfId="121"/>
    <tableColumn id="2" xr3:uid="{F7F64E64-5D01-472B-85F9-90441770DD7A}" name="Zona" dataDxfId="126" totalsRowDxfId="120"/>
    <tableColumn id="3" xr3:uid="{A1659A8A-90BF-4EAB-9523-BD0DCC65B88F}" name="Ventas ($)" totalsRowFunction="average" dataDxfId="125" totalsRowDxfId="119"/>
    <tableColumn id="4" xr3:uid="{2EDC1848-52F1-4356-A61C-3F07136001DB}" name="Meta ($)" totalsRowFunction="average" dataDxfId="123" totalsRowDxfId="118"/>
    <tableColumn id="6" xr3:uid="{2989EF31-B0AD-49DE-8DAA-BEC464FE21F9}" name="Cumplimeinto" totalsRowFunction="average" dataDxfId="122" totalsRowDxfId="117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A5A9A-C278-4486-AA39-085CF423161C}" name="Table13" displayName="Table13" ref="C5:G18" totalsRowCount="1" headerRowDxfId="116" dataDxfId="115">
  <autoFilter ref="C5:G17" xr:uid="{FC0B8F3D-23DB-4340-A573-780BA7A34B6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FD5A669-E54E-4EED-A268-2FAB2454443A}" name="Vendedor" totalsRowLabel="Average" dataDxfId="113" totalsRowDxfId="114"/>
    <tableColumn id="2" xr3:uid="{B9FFB34C-9A73-486E-82B4-69D80BEDF4C4}" name="Zona" dataDxfId="111" totalsRowDxfId="112"/>
    <tableColumn id="3" xr3:uid="{F97E2ECA-E933-4EA0-8B67-B3784F59BCB7}" name="Ventas ($)" totalsRowFunction="average" dataDxfId="109" totalsRowDxfId="110"/>
    <tableColumn id="4" xr3:uid="{523B16AE-E33C-465C-BC10-66701203FEC2}" name="Meta ($)" totalsRowFunction="average" dataDxfId="107" totalsRowDxfId="108"/>
    <tableColumn id="6" xr3:uid="{1E6A67F6-F619-433B-BF01-8383598AE2D8}" name="Cumplimeinto" totalsRowFunction="average" dataDxfId="105" totalsRowDxfId="106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3B93AC-68A9-4608-AC84-2FAAAE3FBED3}" name="Table14" displayName="Table14" ref="C5:G18" totalsRowCount="1" headerRowDxfId="104" dataDxfId="103">
  <autoFilter ref="C5:G17" xr:uid="{FC0B8F3D-23DB-4340-A573-780BA7A34B6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75EC85C-4E97-40E5-85D7-64A79C4E393D}" name="Vendedor" totalsRowLabel="Average" dataDxfId="101" totalsRowDxfId="102"/>
    <tableColumn id="2" xr3:uid="{28813D02-0FEC-45C7-891D-080AEC7BBDCC}" name="Zona" dataDxfId="99" totalsRowDxfId="100"/>
    <tableColumn id="3" xr3:uid="{58ADAFB9-D175-4CAC-AFB7-2D050ED1D931}" name="Ventas ($)" totalsRowFunction="average" dataDxfId="97" totalsRowDxfId="98"/>
    <tableColumn id="4" xr3:uid="{07CB2510-9370-4A81-9D4A-4E687C0D11AD}" name="Meta ($)" totalsRowFunction="average" dataDxfId="95" totalsRowDxfId="96"/>
    <tableColumn id="6" xr3:uid="{9AE8AC3C-4168-4EA3-8ACF-19AF3DB0235D}" name="Cumplimeinto" totalsRowFunction="average" dataDxfId="93" totalsRowDxfId="94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02EEEC-F0C6-44AE-9561-86D808D4A90D}" name="Table145" displayName="Table145" ref="C5:G18" totalsRowCount="1" headerRowDxfId="92" dataDxfId="91">
  <autoFilter ref="C5:G17" xr:uid="{FC0B8F3D-23DB-4340-A573-780BA7A34B6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9F4912C-E98C-4F1B-92E3-36C1312834FD}" name="Vendedor" totalsRowLabel="Average" dataDxfId="90" totalsRowDxfId="85"/>
    <tableColumn id="2" xr3:uid="{B555F9C9-3D70-46F9-ABE2-AEAC9D96D37E}" name="Zona" dataDxfId="89" totalsRowDxfId="84"/>
    <tableColumn id="3" xr3:uid="{9A61ECCD-9686-448C-A306-CF64043A9E84}" name="Ventas ($)" totalsRowFunction="average" dataDxfId="88" totalsRowDxfId="83"/>
    <tableColumn id="4" xr3:uid="{F8469AE9-F326-42A6-A78D-B90983DFF1D1}" name="Meta ($)" totalsRowFunction="average" dataDxfId="87" totalsRowDxfId="82"/>
    <tableColumn id="6" xr3:uid="{F4D6BFA4-9204-424C-AEF6-F24E44733C1C}" name="Cumplimeinto" totalsRowFunction="average" dataDxfId="86" totalsRowDxfId="81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56C687-086C-451F-BC77-21D1CB2758BA}" name="Table1456" displayName="Table1456" ref="C5:G18" totalsRowCount="1" headerRowDxfId="76" dataDxfId="75">
  <autoFilter ref="C5:G17" xr:uid="{FC0B8F3D-23DB-4340-A573-780BA7A34B6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CE655DF-C126-451D-97AE-545A9EFFBA75}" name="Vendedor" totalsRowLabel="Average" dataDxfId="73" totalsRowDxfId="74"/>
    <tableColumn id="2" xr3:uid="{A3D40C36-8691-4818-8FF4-15BB38F31EC6}" name="Zona" dataDxfId="71" totalsRowDxfId="72"/>
    <tableColumn id="3" xr3:uid="{468230B1-AF52-4F1D-8A4A-58812B596AD5}" name="Ventas ($)" totalsRowFunction="average" dataDxfId="69" totalsRowDxfId="70"/>
    <tableColumn id="4" xr3:uid="{B706A7E4-4B0C-454C-BA6F-9489D685E554}" name="Meta ($)" totalsRowFunction="average" dataDxfId="31"/>
    <tableColumn id="6" xr3:uid="{4C60B831-A2FE-4CDD-85DC-0A1A7DAE60A8}" name="Cumplimeinto" totalsRowFunction="average" dataDxfId="67" totalsRowDxfId="68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4073-860C-4AF9-924E-1C98E0785158}">
  <dimension ref="C5:O18"/>
  <sheetViews>
    <sheetView workbookViewId="0">
      <selection activeCell="I14" sqref="I14:O15"/>
    </sheetView>
  </sheetViews>
  <sheetFormatPr defaultRowHeight="14.4" x14ac:dyDescent="0.3"/>
  <cols>
    <col min="3" max="3" width="13.44140625" customWidth="1"/>
    <col min="4" max="4" width="11.77734375" customWidth="1"/>
    <col min="5" max="5" width="18.21875" customWidth="1"/>
    <col min="6" max="6" width="14.5546875" customWidth="1"/>
    <col min="7" max="7" width="16.21875" customWidth="1"/>
  </cols>
  <sheetData>
    <row r="5" spans="3:15" ht="14.4" customHeight="1" x14ac:dyDescent="0.3">
      <c r="C5" s="2" t="s">
        <v>0</v>
      </c>
      <c r="D5" s="2" t="s">
        <v>1</v>
      </c>
      <c r="E5" s="2" t="s">
        <v>2</v>
      </c>
      <c r="F5" s="2" t="s">
        <v>3</v>
      </c>
      <c r="G5" s="2" t="s">
        <v>20</v>
      </c>
      <c r="I5" s="7" t="s">
        <v>22</v>
      </c>
      <c r="J5" s="7"/>
      <c r="K5" s="7"/>
      <c r="L5" s="7"/>
      <c r="M5" s="7"/>
      <c r="N5" s="7"/>
      <c r="O5" s="7"/>
    </row>
    <row r="6" spans="3:15" x14ac:dyDescent="0.3">
      <c r="C6" s="3" t="s">
        <v>4</v>
      </c>
      <c r="D6" s="3" t="s">
        <v>5</v>
      </c>
      <c r="E6" s="4">
        <v>12500</v>
      </c>
      <c r="F6" s="4">
        <v>12000</v>
      </c>
      <c r="G6" s="5">
        <v>1.0417000000000001</v>
      </c>
      <c r="I6" s="7"/>
      <c r="J6" s="7"/>
      <c r="K6" s="7"/>
      <c r="L6" s="7"/>
      <c r="M6" s="7"/>
      <c r="N6" s="7"/>
      <c r="O6" s="7"/>
    </row>
    <row r="7" spans="3:15" x14ac:dyDescent="0.3">
      <c r="C7" s="3" t="s">
        <v>6</v>
      </c>
      <c r="D7" s="3" t="s">
        <v>7</v>
      </c>
      <c r="E7" s="4">
        <v>9800</v>
      </c>
      <c r="F7" s="4">
        <v>11000</v>
      </c>
      <c r="G7" s="5">
        <v>0.89090000000000003</v>
      </c>
    </row>
    <row r="8" spans="3:15" x14ac:dyDescent="0.3">
      <c r="C8" s="3" t="s">
        <v>8</v>
      </c>
      <c r="D8" s="3" t="s">
        <v>9</v>
      </c>
      <c r="E8" s="4">
        <v>14300</v>
      </c>
      <c r="F8" s="4">
        <v>13000</v>
      </c>
      <c r="G8" s="5">
        <v>1.1000000000000001</v>
      </c>
      <c r="I8" s="7" t="s">
        <v>23</v>
      </c>
      <c r="J8" s="7"/>
      <c r="K8" s="7"/>
      <c r="L8" s="7"/>
      <c r="M8" s="7"/>
      <c r="N8" s="7"/>
      <c r="O8" s="7"/>
    </row>
    <row r="9" spans="3:15" x14ac:dyDescent="0.3">
      <c r="C9" s="3" t="s">
        <v>10</v>
      </c>
      <c r="D9" s="3" t="s">
        <v>11</v>
      </c>
      <c r="E9" s="4">
        <v>7600</v>
      </c>
      <c r="F9" s="4">
        <v>9000</v>
      </c>
      <c r="G9" s="5">
        <v>0.84439999999999993</v>
      </c>
      <c r="I9" s="7"/>
      <c r="J9" s="7"/>
      <c r="K9" s="7"/>
      <c r="L9" s="7"/>
      <c r="M9" s="7"/>
      <c r="N9" s="7"/>
      <c r="O9" s="7"/>
    </row>
    <row r="10" spans="3:15" x14ac:dyDescent="0.3">
      <c r="C10" s="3" t="s">
        <v>12</v>
      </c>
      <c r="D10" s="3" t="s">
        <v>5</v>
      </c>
      <c r="E10" s="4">
        <v>15800</v>
      </c>
      <c r="F10" s="4">
        <v>15000</v>
      </c>
      <c r="G10" s="5">
        <v>1.0532999999999999</v>
      </c>
    </row>
    <row r="11" spans="3:15" x14ac:dyDescent="0.3">
      <c r="C11" s="3" t="s">
        <v>13</v>
      </c>
      <c r="D11" s="3" t="s">
        <v>7</v>
      </c>
      <c r="E11" s="4">
        <v>11200</v>
      </c>
      <c r="F11" s="4">
        <v>12000</v>
      </c>
      <c r="G11" s="5">
        <v>0.93330000000000002</v>
      </c>
      <c r="I11" s="8" t="s">
        <v>24</v>
      </c>
      <c r="J11" s="8"/>
      <c r="K11" s="8"/>
      <c r="L11" s="8"/>
      <c r="M11" s="8"/>
      <c r="N11" s="8"/>
      <c r="O11" s="8"/>
    </row>
    <row r="12" spans="3:15" x14ac:dyDescent="0.3">
      <c r="C12" s="3" t="s">
        <v>14</v>
      </c>
      <c r="D12" s="3" t="s">
        <v>9</v>
      </c>
      <c r="E12" s="4">
        <v>8900</v>
      </c>
      <c r="F12" s="4">
        <v>8500</v>
      </c>
      <c r="G12" s="5">
        <v>1.0470999999999999</v>
      </c>
      <c r="I12" s="8"/>
      <c r="J12" s="8"/>
      <c r="K12" s="8"/>
      <c r="L12" s="8"/>
      <c r="M12" s="8"/>
      <c r="N12" s="8"/>
      <c r="O12" s="8"/>
    </row>
    <row r="13" spans="3:15" x14ac:dyDescent="0.3">
      <c r="C13" s="3" t="s">
        <v>15</v>
      </c>
      <c r="D13" s="3" t="s">
        <v>11</v>
      </c>
      <c r="E13" s="4">
        <v>17200</v>
      </c>
      <c r="F13" s="4">
        <v>16000</v>
      </c>
      <c r="G13" s="5">
        <v>1.075</v>
      </c>
    </row>
    <row r="14" spans="3:15" ht="14.4" customHeight="1" x14ac:dyDescent="0.3">
      <c r="C14" s="3" t="s">
        <v>16</v>
      </c>
      <c r="D14" s="3" t="s">
        <v>5</v>
      </c>
      <c r="E14" s="4">
        <v>6900</v>
      </c>
      <c r="F14" s="4">
        <v>8000</v>
      </c>
      <c r="G14" s="5">
        <v>0.86250000000000004</v>
      </c>
      <c r="I14" s="8" t="s">
        <v>25</v>
      </c>
      <c r="J14" s="8"/>
      <c r="K14" s="8"/>
      <c r="L14" s="8"/>
      <c r="M14" s="8"/>
      <c r="N14" s="8"/>
      <c r="O14" s="8"/>
    </row>
    <row r="15" spans="3:15" x14ac:dyDescent="0.3">
      <c r="C15" s="3" t="s">
        <v>17</v>
      </c>
      <c r="D15" s="3" t="s">
        <v>7</v>
      </c>
      <c r="E15" s="4">
        <v>13400</v>
      </c>
      <c r="F15" s="4">
        <v>12500</v>
      </c>
      <c r="G15" s="5">
        <v>1.0720000000000001</v>
      </c>
      <c r="I15" s="8"/>
      <c r="J15" s="8"/>
      <c r="K15" s="8"/>
      <c r="L15" s="8"/>
      <c r="M15" s="8"/>
      <c r="N15" s="8"/>
      <c r="O15" s="8"/>
    </row>
    <row r="16" spans="3:15" x14ac:dyDescent="0.3">
      <c r="C16" s="3" t="s">
        <v>18</v>
      </c>
      <c r="D16" s="3" t="s">
        <v>9</v>
      </c>
      <c r="E16" s="4">
        <v>10100</v>
      </c>
      <c r="F16" s="4">
        <v>10000</v>
      </c>
      <c r="G16" s="5">
        <v>1.01</v>
      </c>
      <c r="I16" s="9"/>
      <c r="J16" s="9"/>
      <c r="K16" s="9"/>
      <c r="L16" s="9"/>
      <c r="M16" s="9"/>
      <c r="N16" s="9"/>
      <c r="O16" s="9"/>
    </row>
    <row r="17" spans="3:7" x14ac:dyDescent="0.3">
      <c r="C17" s="3" t="s">
        <v>19</v>
      </c>
      <c r="D17" s="3" t="s">
        <v>11</v>
      </c>
      <c r="E17" s="4">
        <v>8200</v>
      </c>
      <c r="F17" s="4">
        <v>9500</v>
      </c>
      <c r="G17" s="5">
        <v>0.86319999999999997</v>
      </c>
    </row>
    <row r="18" spans="3:7" x14ac:dyDescent="0.3">
      <c r="C18" s="3" t="s">
        <v>21</v>
      </c>
      <c r="D18" s="3"/>
      <c r="E18" s="4">
        <f>SUBTOTAL(101,Table1[Ventas ($)])</f>
        <v>11325</v>
      </c>
      <c r="F18" s="4">
        <f>SUBTOTAL(101,Table1[Meta ($)])</f>
        <v>11375</v>
      </c>
      <c r="G18" s="6">
        <f>SUBTOTAL(101,Table1[Cumplimeinto])</f>
        <v>0.98278333333333345</v>
      </c>
    </row>
  </sheetData>
  <mergeCells count="4">
    <mergeCell ref="I14:O15"/>
    <mergeCell ref="I5:O6"/>
    <mergeCell ref="I8:O9"/>
    <mergeCell ref="I11:O12"/>
  </mergeCells>
  <conditionalFormatting sqref="E6:E17">
    <cfRule type="iconSet" priority="1">
      <iconSet iconSet="3Symbols2">
        <cfvo type="percent" val="0"/>
        <cfvo type="percent" val="50"/>
        <cfvo type="percent" val="70"/>
      </iconSet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1C32-15A3-4618-B78A-82C6D0CE80B6}">
  <dimension ref="C5:O18"/>
  <sheetViews>
    <sheetView workbookViewId="0">
      <selection activeCell="I5" sqref="I5:O18"/>
    </sheetView>
  </sheetViews>
  <sheetFormatPr defaultRowHeight="14.4" x14ac:dyDescent="0.3"/>
  <cols>
    <col min="3" max="3" width="13.44140625" customWidth="1"/>
    <col min="4" max="4" width="11.77734375" customWidth="1"/>
    <col min="5" max="5" width="18.21875" customWidth="1"/>
    <col min="6" max="6" width="14.5546875" customWidth="1"/>
    <col min="7" max="7" width="16.21875" customWidth="1"/>
  </cols>
  <sheetData>
    <row r="5" spans="3:15" ht="14.4" customHeight="1" x14ac:dyDescent="0.3">
      <c r="C5" s="2" t="s">
        <v>0</v>
      </c>
      <c r="D5" s="2" t="s">
        <v>1</v>
      </c>
      <c r="E5" s="2" t="s">
        <v>2</v>
      </c>
      <c r="F5" s="2" t="s">
        <v>3</v>
      </c>
      <c r="G5" s="2" t="s">
        <v>20</v>
      </c>
      <c r="I5" s="7" t="s">
        <v>26</v>
      </c>
      <c r="J5" s="7"/>
      <c r="K5" s="7"/>
      <c r="L5" s="7"/>
      <c r="M5" s="7"/>
      <c r="N5" s="7"/>
      <c r="O5" s="7"/>
    </row>
    <row r="6" spans="3:15" x14ac:dyDescent="0.3">
      <c r="C6" s="3" t="s">
        <v>4</v>
      </c>
      <c r="D6" s="3" t="s">
        <v>5</v>
      </c>
      <c r="E6" s="4">
        <v>12500</v>
      </c>
      <c r="F6" s="4">
        <v>12000</v>
      </c>
      <c r="G6" s="5">
        <v>1.0417000000000001</v>
      </c>
      <c r="I6" s="7"/>
      <c r="J6" s="7"/>
      <c r="K6" s="7"/>
      <c r="L6" s="7"/>
      <c r="M6" s="7"/>
      <c r="N6" s="7"/>
      <c r="O6" s="7"/>
    </row>
    <row r="7" spans="3:15" x14ac:dyDescent="0.3">
      <c r="C7" s="3" t="s">
        <v>6</v>
      </c>
      <c r="D7" s="3" t="s">
        <v>7</v>
      </c>
      <c r="E7" s="4">
        <v>9800</v>
      </c>
      <c r="F7" s="4">
        <v>11000</v>
      </c>
      <c r="G7" s="5">
        <v>0.89090000000000003</v>
      </c>
    </row>
    <row r="8" spans="3:15" x14ac:dyDescent="0.3">
      <c r="C8" s="3" t="s">
        <v>8</v>
      </c>
      <c r="D8" s="3" t="s">
        <v>9</v>
      </c>
      <c r="E8" s="4">
        <v>14300</v>
      </c>
      <c r="F8" s="4">
        <v>13000</v>
      </c>
      <c r="G8" s="5">
        <v>1.1000000000000001</v>
      </c>
      <c r="I8" s="9"/>
      <c r="J8" s="9"/>
      <c r="K8" s="9"/>
      <c r="L8" s="9"/>
      <c r="M8" s="9"/>
      <c r="N8" s="9"/>
      <c r="O8" s="9"/>
    </row>
    <row r="9" spans="3:15" x14ac:dyDescent="0.3">
      <c r="C9" s="3" t="s">
        <v>10</v>
      </c>
      <c r="D9" s="3" t="s">
        <v>11</v>
      </c>
      <c r="E9" s="4">
        <v>7600</v>
      </c>
      <c r="F9" s="4">
        <v>9000</v>
      </c>
      <c r="G9" s="5">
        <v>0.84439999999999993</v>
      </c>
      <c r="I9" s="9"/>
      <c r="J9" s="9"/>
      <c r="K9" s="9"/>
      <c r="L9" s="9"/>
      <c r="M9" s="9"/>
      <c r="N9" s="9"/>
      <c r="O9" s="9"/>
    </row>
    <row r="10" spans="3:15" x14ac:dyDescent="0.3">
      <c r="C10" s="3" t="s">
        <v>12</v>
      </c>
      <c r="D10" s="3" t="s">
        <v>5</v>
      </c>
      <c r="E10" s="4">
        <v>15800</v>
      </c>
      <c r="F10" s="4">
        <v>15000</v>
      </c>
      <c r="G10" s="5">
        <v>1.0532999999999999</v>
      </c>
    </row>
    <row r="11" spans="3:15" x14ac:dyDescent="0.3">
      <c r="C11" s="3" t="s">
        <v>13</v>
      </c>
      <c r="D11" s="3" t="s">
        <v>7</v>
      </c>
      <c r="E11" s="4">
        <v>11200</v>
      </c>
      <c r="F11" s="4">
        <v>12000</v>
      </c>
      <c r="G11" s="5">
        <v>0.93330000000000002</v>
      </c>
      <c r="I11" s="1"/>
      <c r="J11" s="1"/>
      <c r="K11" s="1"/>
      <c r="L11" s="1"/>
      <c r="M11" s="1"/>
      <c r="N11" s="1"/>
      <c r="O11" s="1"/>
    </row>
    <row r="12" spans="3:15" x14ac:dyDescent="0.3">
      <c r="C12" s="3" t="s">
        <v>14</v>
      </c>
      <c r="D12" s="3" t="s">
        <v>9</v>
      </c>
      <c r="E12" s="4">
        <v>8900</v>
      </c>
      <c r="F12" s="4">
        <v>8500</v>
      </c>
      <c r="G12" s="5">
        <v>1.0470999999999999</v>
      </c>
      <c r="I12" s="1"/>
      <c r="J12" s="1"/>
      <c r="K12" s="1"/>
      <c r="L12" s="1"/>
      <c r="M12" s="1"/>
      <c r="N12" s="1"/>
      <c r="O12" s="1"/>
    </row>
    <row r="13" spans="3:15" x14ac:dyDescent="0.3">
      <c r="C13" s="3" t="s">
        <v>15</v>
      </c>
      <c r="D13" s="3" t="s">
        <v>11</v>
      </c>
      <c r="E13" s="4">
        <v>17200</v>
      </c>
      <c r="F13" s="4">
        <v>16000</v>
      </c>
      <c r="G13" s="5">
        <v>1.075</v>
      </c>
    </row>
    <row r="14" spans="3:15" ht="14.4" customHeight="1" x14ac:dyDescent="0.3">
      <c r="C14" s="3" t="s">
        <v>16</v>
      </c>
      <c r="D14" s="3" t="s">
        <v>5</v>
      </c>
      <c r="E14" s="4">
        <v>6900</v>
      </c>
      <c r="F14" s="4">
        <v>8000</v>
      </c>
      <c r="G14" s="5">
        <v>0.86250000000000004</v>
      </c>
      <c r="I14" s="9"/>
      <c r="J14" s="9"/>
      <c r="K14" s="9"/>
      <c r="L14" s="9"/>
      <c r="M14" s="9"/>
      <c r="N14" s="9"/>
      <c r="O14" s="9"/>
    </row>
    <row r="15" spans="3:15" x14ac:dyDescent="0.3">
      <c r="C15" s="3" t="s">
        <v>17</v>
      </c>
      <c r="D15" s="3" t="s">
        <v>7</v>
      </c>
      <c r="E15" s="4">
        <v>13400</v>
      </c>
      <c r="F15" s="4">
        <v>12500</v>
      </c>
      <c r="G15" s="5">
        <v>1.0720000000000001</v>
      </c>
      <c r="I15" s="9"/>
      <c r="J15" s="9"/>
      <c r="K15" s="9"/>
      <c r="L15" s="9"/>
      <c r="M15" s="9"/>
      <c r="N15" s="9"/>
      <c r="O15" s="9"/>
    </row>
    <row r="16" spans="3:15" x14ac:dyDescent="0.3">
      <c r="C16" s="3" t="s">
        <v>18</v>
      </c>
      <c r="D16" s="3" t="s">
        <v>9</v>
      </c>
      <c r="E16" s="4">
        <v>10100</v>
      </c>
      <c r="F16" s="4">
        <v>10000</v>
      </c>
      <c r="G16" s="5">
        <v>1.01</v>
      </c>
      <c r="I16" s="9"/>
      <c r="J16" s="9"/>
      <c r="K16" s="9"/>
      <c r="L16" s="9"/>
      <c r="M16" s="9"/>
      <c r="N16" s="9"/>
      <c r="O16" s="9"/>
    </row>
    <row r="17" spans="3:7" x14ac:dyDescent="0.3">
      <c r="C17" s="3" t="s">
        <v>19</v>
      </c>
      <c r="D17" s="3" t="s">
        <v>11</v>
      </c>
      <c r="E17" s="4">
        <v>8200</v>
      </c>
      <c r="F17" s="4">
        <v>9500</v>
      </c>
      <c r="G17" s="5">
        <v>0.86319999999999997</v>
      </c>
    </row>
    <row r="18" spans="3:7" x14ac:dyDescent="0.3">
      <c r="C18" s="3" t="s">
        <v>21</v>
      </c>
      <c r="D18" s="3"/>
      <c r="E18" s="4">
        <f>SUBTOTAL(101,Table13[Ventas ($)])</f>
        <v>11325</v>
      </c>
      <c r="F18" s="4">
        <f>SUBTOTAL(101,Table13[Meta ($)])</f>
        <v>11375</v>
      </c>
      <c r="G18" s="6">
        <f>SUBTOTAL(101,Table13[Cumplimeinto])</f>
        <v>0.98278333333333345</v>
      </c>
    </row>
  </sheetData>
  <mergeCells count="1">
    <mergeCell ref="I5:O6"/>
  </mergeCells>
  <conditionalFormatting sqref="E6:E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A92C-90AC-4B5E-9B6B-21E513120E3C}">
  <dimension ref="C5:O18"/>
  <sheetViews>
    <sheetView workbookViewId="0">
      <selection activeCell="I5" sqref="I5:O16"/>
    </sheetView>
  </sheetViews>
  <sheetFormatPr defaultRowHeight="14.4" x14ac:dyDescent="0.3"/>
  <cols>
    <col min="3" max="3" width="13.44140625" customWidth="1"/>
    <col min="4" max="4" width="11.77734375" customWidth="1"/>
    <col min="5" max="5" width="18.21875" customWidth="1"/>
    <col min="6" max="6" width="14.5546875" customWidth="1"/>
    <col min="7" max="7" width="16.21875" customWidth="1"/>
  </cols>
  <sheetData>
    <row r="5" spans="3:15" ht="14.4" customHeight="1" x14ac:dyDescent="0.3">
      <c r="C5" s="2" t="s">
        <v>0</v>
      </c>
      <c r="D5" s="2" t="s">
        <v>1</v>
      </c>
      <c r="E5" s="2" t="s">
        <v>2</v>
      </c>
      <c r="F5" s="2" t="s">
        <v>3</v>
      </c>
      <c r="G5" s="2" t="s">
        <v>20</v>
      </c>
      <c r="I5" s="7" t="s">
        <v>27</v>
      </c>
      <c r="J5" s="7"/>
      <c r="K5" s="7"/>
      <c r="L5" s="7"/>
      <c r="M5" s="7"/>
      <c r="N5" s="7"/>
      <c r="O5" s="7"/>
    </row>
    <row r="6" spans="3:15" x14ac:dyDescent="0.3">
      <c r="C6" s="3" t="s">
        <v>4</v>
      </c>
      <c r="D6" s="3" t="s">
        <v>5</v>
      </c>
      <c r="E6" s="4">
        <v>12500</v>
      </c>
      <c r="F6" s="4">
        <v>12000</v>
      </c>
      <c r="G6" s="5">
        <v>1.0417000000000001</v>
      </c>
      <c r="I6" s="7"/>
      <c r="J6" s="7"/>
      <c r="K6" s="7"/>
      <c r="L6" s="7"/>
      <c r="M6" s="7"/>
      <c r="N6" s="7"/>
      <c r="O6" s="7"/>
    </row>
    <row r="7" spans="3:15" x14ac:dyDescent="0.3">
      <c r="C7" s="3" t="s">
        <v>6</v>
      </c>
      <c r="D7" s="3" t="s">
        <v>7</v>
      </c>
      <c r="E7" s="4">
        <v>9800</v>
      </c>
      <c r="F7" s="4">
        <v>11000</v>
      </c>
      <c r="G7" s="5">
        <v>0.89090000000000003</v>
      </c>
    </row>
    <row r="8" spans="3:15" ht="14.4" customHeight="1" x14ac:dyDescent="0.3">
      <c r="C8" s="3" t="s">
        <v>8</v>
      </c>
      <c r="D8" s="3" t="s">
        <v>9</v>
      </c>
      <c r="E8" s="4">
        <v>14300</v>
      </c>
      <c r="F8" s="4">
        <v>13000</v>
      </c>
      <c r="G8" s="5">
        <v>1.1000000000000001</v>
      </c>
      <c r="I8" s="9"/>
      <c r="J8" s="9"/>
      <c r="K8" s="9"/>
      <c r="L8" s="9"/>
      <c r="M8" s="9"/>
      <c r="N8" s="9"/>
      <c r="O8" s="9"/>
    </row>
    <row r="9" spans="3:15" x14ac:dyDescent="0.3">
      <c r="C9" s="3" t="s">
        <v>10</v>
      </c>
      <c r="D9" s="3" t="s">
        <v>11</v>
      </c>
      <c r="E9" s="4">
        <v>7600</v>
      </c>
      <c r="F9" s="4">
        <v>9000</v>
      </c>
      <c r="G9" s="5">
        <v>0.84439999999999993</v>
      </c>
      <c r="I9" s="9"/>
      <c r="J9" s="9"/>
      <c r="K9" s="9"/>
      <c r="L9" s="9"/>
      <c r="M9" s="9"/>
      <c r="N9" s="9"/>
      <c r="O9" s="9"/>
    </row>
    <row r="10" spans="3:15" x14ac:dyDescent="0.3">
      <c r="C10" s="3" t="s">
        <v>12</v>
      </c>
      <c r="D10" s="3" t="s">
        <v>5</v>
      </c>
      <c r="E10" s="4">
        <v>15800</v>
      </c>
      <c r="F10" s="4">
        <v>15000</v>
      </c>
      <c r="G10" s="5">
        <v>1.0532999999999999</v>
      </c>
    </row>
    <row r="11" spans="3:15" ht="14.4" customHeight="1" x14ac:dyDescent="0.3">
      <c r="C11" s="3" t="s">
        <v>13</v>
      </c>
      <c r="D11" s="3" t="s">
        <v>7</v>
      </c>
      <c r="E11" s="4">
        <v>11200</v>
      </c>
      <c r="F11" s="4">
        <v>12000</v>
      </c>
      <c r="G11" s="5">
        <v>0.93330000000000002</v>
      </c>
      <c r="I11" s="1"/>
      <c r="J11" s="1"/>
      <c r="K11" s="1"/>
      <c r="L11" s="1"/>
      <c r="M11" s="1"/>
      <c r="N11" s="1"/>
      <c r="O11" s="1"/>
    </row>
    <row r="12" spans="3:15" x14ac:dyDescent="0.3">
      <c r="C12" s="3" t="s">
        <v>14</v>
      </c>
      <c r="D12" s="3" t="s">
        <v>9</v>
      </c>
      <c r="E12" s="4">
        <v>8900</v>
      </c>
      <c r="F12" s="4">
        <v>8500</v>
      </c>
      <c r="G12" s="5">
        <v>1.0470999999999999</v>
      </c>
      <c r="I12" s="1"/>
      <c r="J12" s="1"/>
      <c r="K12" s="1"/>
      <c r="L12" s="1"/>
      <c r="M12" s="1"/>
      <c r="N12" s="1"/>
      <c r="O12" s="1"/>
    </row>
    <row r="13" spans="3:15" x14ac:dyDescent="0.3">
      <c r="C13" s="3" t="s">
        <v>15</v>
      </c>
      <c r="D13" s="3" t="s">
        <v>11</v>
      </c>
      <c r="E13" s="4">
        <v>17200</v>
      </c>
      <c r="F13" s="4">
        <v>16000</v>
      </c>
      <c r="G13" s="5">
        <v>1.075</v>
      </c>
    </row>
    <row r="14" spans="3:15" ht="14.4" customHeight="1" x14ac:dyDescent="0.3">
      <c r="C14" s="3" t="s">
        <v>16</v>
      </c>
      <c r="D14" s="3" t="s">
        <v>5</v>
      </c>
      <c r="E14" s="4">
        <v>6900</v>
      </c>
      <c r="F14" s="4">
        <v>8000</v>
      </c>
      <c r="G14" s="5">
        <v>0.86250000000000004</v>
      </c>
      <c r="I14" s="9"/>
      <c r="J14" s="9"/>
      <c r="K14" s="9"/>
      <c r="L14" s="9"/>
      <c r="M14" s="9"/>
      <c r="N14" s="9"/>
      <c r="O14" s="9"/>
    </row>
    <row r="15" spans="3:15" x14ac:dyDescent="0.3">
      <c r="C15" s="3" t="s">
        <v>17</v>
      </c>
      <c r="D15" s="3" t="s">
        <v>7</v>
      </c>
      <c r="E15" s="4">
        <v>13400</v>
      </c>
      <c r="F15" s="4">
        <v>12500</v>
      </c>
      <c r="G15" s="5">
        <v>1.0720000000000001</v>
      </c>
      <c r="I15" s="9"/>
      <c r="J15" s="9"/>
      <c r="K15" s="9"/>
      <c r="L15" s="9"/>
      <c r="M15" s="9"/>
      <c r="N15" s="9"/>
      <c r="O15" s="9"/>
    </row>
    <row r="16" spans="3:15" x14ac:dyDescent="0.3">
      <c r="C16" s="3" t="s">
        <v>18</v>
      </c>
      <c r="D16" s="3" t="s">
        <v>9</v>
      </c>
      <c r="E16" s="4">
        <v>10100</v>
      </c>
      <c r="F16" s="4">
        <v>10000</v>
      </c>
      <c r="G16" s="5">
        <v>1.01</v>
      </c>
      <c r="I16" s="9"/>
      <c r="J16" s="9"/>
      <c r="K16" s="9"/>
      <c r="L16" s="9"/>
      <c r="M16" s="9"/>
      <c r="N16" s="9"/>
      <c r="O16" s="9"/>
    </row>
    <row r="17" spans="3:7" x14ac:dyDescent="0.3">
      <c r="C17" s="3" t="s">
        <v>19</v>
      </c>
      <c r="D17" s="3" t="s">
        <v>11</v>
      </c>
      <c r="E17" s="4">
        <v>8200</v>
      </c>
      <c r="F17" s="4">
        <v>9500</v>
      </c>
      <c r="G17" s="5">
        <v>0.86319999999999997</v>
      </c>
    </row>
    <row r="18" spans="3:7" x14ac:dyDescent="0.3">
      <c r="C18" s="3" t="s">
        <v>21</v>
      </c>
      <c r="D18" s="3"/>
      <c r="E18" s="4">
        <f>SUBTOTAL(101,Table14[Ventas ($)])</f>
        <v>11325</v>
      </c>
      <c r="F18" s="4">
        <f>SUBTOTAL(101,Table14[Meta ($)])</f>
        <v>11375</v>
      </c>
      <c r="G18" s="6">
        <f>SUBTOTAL(101,Table14[Cumplimeinto])</f>
        <v>0.98278333333333345</v>
      </c>
    </row>
  </sheetData>
  <mergeCells count="1">
    <mergeCell ref="I5:O6"/>
  </mergeCells>
  <conditionalFormatting sqref="E6:E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{B6FE8162-2E65-4EC0-8FC7-0B8BB9DB71EC}</x14:id>
        </ext>
      </extLst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FE8162-2E65-4EC0-8FC7-0B8BB9DB71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E6:E17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508E-8C14-4BAD-A15A-84B33DEA111E}">
  <dimension ref="C5:O18"/>
  <sheetViews>
    <sheetView workbookViewId="0">
      <selection activeCell="N21" sqref="N21"/>
    </sheetView>
  </sheetViews>
  <sheetFormatPr defaultRowHeight="14.4" x14ac:dyDescent="0.3"/>
  <cols>
    <col min="3" max="3" width="13.44140625" customWidth="1"/>
    <col min="4" max="4" width="11.77734375" customWidth="1"/>
    <col min="5" max="5" width="18.21875" customWidth="1"/>
    <col min="6" max="6" width="14.5546875" customWidth="1"/>
    <col min="7" max="7" width="16.21875" customWidth="1"/>
  </cols>
  <sheetData>
    <row r="5" spans="3:15" ht="14.4" customHeight="1" x14ac:dyDescent="0.3">
      <c r="C5" s="2" t="s">
        <v>0</v>
      </c>
      <c r="D5" s="2" t="s">
        <v>1</v>
      </c>
      <c r="E5" s="2" t="s">
        <v>2</v>
      </c>
      <c r="F5" s="2" t="s">
        <v>3</v>
      </c>
      <c r="G5" s="2" t="s">
        <v>20</v>
      </c>
      <c r="I5" s="7" t="s">
        <v>28</v>
      </c>
      <c r="J5" s="7"/>
      <c r="K5" s="7"/>
      <c r="L5" s="7"/>
      <c r="M5" s="7"/>
      <c r="N5" s="7"/>
      <c r="O5" s="7"/>
    </row>
    <row r="6" spans="3:15" x14ac:dyDescent="0.3">
      <c r="C6" s="3" t="s">
        <v>4</v>
      </c>
      <c r="D6" s="3" t="s">
        <v>5</v>
      </c>
      <c r="E6" s="4">
        <v>12500</v>
      </c>
      <c r="F6" s="4">
        <v>12000</v>
      </c>
      <c r="G6" s="5">
        <v>1.0417000000000001</v>
      </c>
      <c r="I6" s="7"/>
      <c r="J6" s="7"/>
      <c r="K6" s="7"/>
      <c r="L6" s="7"/>
      <c r="M6" s="7"/>
      <c r="N6" s="7"/>
      <c r="O6" s="7"/>
    </row>
    <row r="7" spans="3:15" x14ac:dyDescent="0.3">
      <c r="C7" s="3" t="s">
        <v>6</v>
      </c>
      <c r="D7" s="3" t="s">
        <v>7</v>
      </c>
      <c r="E7" s="4">
        <v>9800</v>
      </c>
      <c r="F7" s="4">
        <v>11000</v>
      </c>
      <c r="G7" s="5">
        <v>0.89090000000000003</v>
      </c>
    </row>
    <row r="8" spans="3:15" ht="14.4" customHeight="1" x14ac:dyDescent="0.3">
      <c r="C8" s="3" t="s">
        <v>8</v>
      </c>
      <c r="D8" s="3" t="s">
        <v>9</v>
      </c>
      <c r="E8" s="4">
        <v>14300</v>
      </c>
      <c r="F8" s="4">
        <v>13000</v>
      </c>
      <c r="G8" s="5">
        <v>1.1000000000000001</v>
      </c>
      <c r="I8" s="9"/>
      <c r="J8" s="9"/>
      <c r="K8" s="9"/>
      <c r="L8" s="9"/>
      <c r="M8" s="9"/>
      <c r="N8" s="9"/>
      <c r="O8" s="9"/>
    </row>
    <row r="9" spans="3:15" x14ac:dyDescent="0.3">
      <c r="C9" s="3" t="s">
        <v>10</v>
      </c>
      <c r="D9" s="3" t="s">
        <v>11</v>
      </c>
      <c r="E9" s="4">
        <v>7600</v>
      </c>
      <c r="F9" s="4">
        <v>9000</v>
      </c>
      <c r="G9" s="5">
        <v>0.84439999999999993</v>
      </c>
      <c r="I9" s="9"/>
      <c r="J9" s="9"/>
      <c r="K9" s="9"/>
      <c r="L9" s="9"/>
      <c r="M9" s="9"/>
      <c r="N9" s="9"/>
      <c r="O9" s="9"/>
    </row>
    <row r="10" spans="3:15" x14ac:dyDescent="0.3">
      <c r="C10" s="3" t="s">
        <v>12</v>
      </c>
      <c r="D10" s="3" t="s">
        <v>5</v>
      </c>
      <c r="E10" s="4">
        <v>15800</v>
      </c>
      <c r="F10" s="4">
        <v>15000</v>
      </c>
      <c r="G10" s="5">
        <v>1.0532999999999999</v>
      </c>
    </row>
    <row r="11" spans="3:15" ht="14.4" customHeight="1" x14ac:dyDescent="0.3">
      <c r="C11" s="3" t="s">
        <v>13</v>
      </c>
      <c r="D11" s="3" t="s">
        <v>7</v>
      </c>
      <c r="E11" s="4">
        <v>11200</v>
      </c>
      <c r="F11" s="4">
        <v>12000</v>
      </c>
      <c r="G11" s="5">
        <v>0.93330000000000002</v>
      </c>
      <c r="I11" s="1"/>
      <c r="J11" s="1"/>
      <c r="K11" s="1"/>
      <c r="L11" s="1"/>
      <c r="M11" s="1"/>
      <c r="N11" s="1"/>
      <c r="O11" s="1"/>
    </row>
    <row r="12" spans="3:15" x14ac:dyDescent="0.3">
      <c r="C12" s="3" t="s">
        <v>14</v>
      </c>
      <c r="D12" s="3" t="s">
        <v>9</v>
      </c>
      <c r="E12" s="4">
        <v>8900</v>
      </c>
      <c r="F12" s="4">
        <v>8500</v>
      </c>
      <c r="G12" s="5">
        <v>1.0470999999999999</v>
      </c>
      <c r="I12" s="1"/>
      <c r="J12" s="1"/>
      <c r="K12" s="1"/>
      <c r="L12" s="1"/>
      <c r="M12" s="1"/>
      <c r="N12" s="1"/>
      <c r="O12" s="1"/>
    </row>
    <row r="13" spans="3:15" x14ac:dyDescent="0.3">
      <c r="C13" s="3" t="s">
        <v>15</v>
      </c>
      <c r="D13" s="3" t="s">
        <v>11</v>
      </c>
      <c r="E13" s="4">
        <v>17200</v>
      </c>
      <c r="F13" s="4">
        <v>16000</v>
      </c>
      <c r="G13" s="5">
        <v>1.075</v>
      </c>
    </row>
    <row r="14" spans="3:15" ht="14.4" customHeight="1" x14ac:dyDescent="0.3">
      <c r="C14" s="3" t="s">
        <v>16</v>
      </c>
      <c r="D14" s="3" t="s">
        <v>5</v>
      </c>
      <c r="E14" s="4">
        <v>6900</v>
      </c>
      <c r="F14" s="4">
        <v>8000</v>
      </c>
      <c r="G14" s="5">
        <v>0.86250000000000004</v>
      </c>
      <c r="I14" s="9"/>
      <c r="J14" s="9"/>
      <c r="K14" s="9"/>
      <c r="L14" s="9"/>
      <c r="M14" s="9"/>
      <c r="N14" s="9"/>
      <c r="O14" s="9"/>
    </row>
    <row r="15" spans="3:15" x14ac:dyDescent="0.3">
      <c r="C15" s="3" t="s">
        <v>17</v>
      </c>
      <c r="D15" s="3" t="s">
        <v>7</v>
      </c>
      <c r="E15" s="4">
        <v>13400</v>
      </c>
      <c r="F15" s="4">
        <v>12500</v>
      </c>
      <c r="G15" s="5">
        <v>1.0720000000000001</v>
      </c>
      <c r="I15" s="9"/>
      <c r="J15" s="9"/>
      <c r="K15" s="9"/>
      <c r="L15" s="9"/>
      <c r="M15" s="9"/>
      <c r="N15" s="9"/>
      <c r="O15" s="9"/>
    </row>
    <row r="16" spans="3:15" x14ac:dyDescent="0.3">
      <c r="C16" s="3" t="s">
        <v>18</v>
      </c>
      <c r="D16" s="3" t="s">
        <v>9</v>
      </c>
      <c r="E16" s="4">
        <v>10100</v>
      </c>
      <c r="F16" s="4">
        <v>10000</v>
      </c>
      <c r="G16" s="5">
        <v>1.01</v>
      </c>
      <c r="I16" s="9"/>
      <c r="J16" s="9"/>
      <c r="K16" s="9"/>
      <c r="L16" s="9"/>
      <c r="M16" s="9"/>
      <c r="N16" s="9"/>
      <c r="O16" s="9"/>
    </row>
    <row r="17" spans="3:7" x14ac:dyDescent="0.3">
      <c r="C17" s="3" t="s">
        <v>19</v>
      </c>
      <c r="D17" s="3" t="s">
        <v>11</v>
      </c>
      <c r="E17" s="4">
        <v>8200</v>
      </c>
      <c r="F17" s="4">
        <v>9500</v>
      </c>
      <c r="G17" s="5">
        <v>0.86319999999999997</v>
      </c>
    </row>
    <row r="18" spans="3:7" x14ac:dyDescent="0.3">
      <c r="C18" s="3" t="s">
        <v>21</v>
      </c>
      <c r="D18" s="3"/>
      <c r="E18" s="4">
        <f>SUBTOTAL(101,Table145[Ventas ($)])</f>
        <v>11325</v>
      </c>
      <c r="F18" s="4">
        <f>SUBTOTAL(101,Table145[Meta ($)])</f>
        <v>11375</v>
      </c>
      <c r="G18" s="6">
        <f>SUBTOTAL(101,Table145[Cumplimeinto])</f>
        <v>0.98278333333333345</v>
      </c>
    </row>
  </sheetData>
  <mergeCells count="1">
    <mergeCell ref="I5:O6"/>
  </mergeCells>
  <conditionalFormatting sqref="D6:D17">
    <cfRule type="cellIs" dxfId="78" priority="4" operator="equal">
      <formula>"Norte"</formula>
    </cfRule>
    <cfRule type="containsText" dxfId="79" priority="3" operator="containsText" text="Sur">
      <formula>NOT(ISERROR(SEARCH("Sur",D6)))</formula>
    </cfRule>
    <cfRule type="cellIs" dxfId="80" priority="2" operator="equal">
      <formula>"Este"</formula>
    </cfRule>
    <cfRule type="cellIs" dxfId="77" priority="1" operator="equal">
      <formula>"Oeste"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FAB1-5A5D-4471-935D-69715F80FD2E}">
  <dimension ref="C5:O19"/>
  <sheetViews>
    <sheetView tabSelected="1" workbookViewId="0">
      <selection activeCell="N21" sqref="N21"/>
    </sheetView>
  </sheetViews>
  <sheetFormatPr defaultRowHeight="14.4" x14ac:dyDescent="0.3"/>
  <cols>
    <col min="3" max="3" width="13.44140625" customWidth="1"/>
    <col min="4" max="4" width="11.77734375" customWidth="1"/>
    <col min="5" max="5" width="18.21875" customWidth="1"/>
    <col min="6" max="6" width="14.5546875" customWidth="1"/>
    <col min="7" max="7" width="16.21875" customWidth="1"/>
  </cols>
  <sheetData>
    <row r="5" spans="3:15" ht="14.4" customHeight="1" x14ac:dyDescent="0.3">
      <c r="C5" s="2" t="s">
        <v>0</v>
      </c>
      <c r="D5" s="2" t="s">
        <v>1</v>
      </c>
      <c r="E5" s="2" t="s">
        <v>2</v>
      </c>
      <c r="F5" s="2" t="s">
        <v>3</v>
      </c>
      <c r="G5" s="2" t="s">
        <v>20</v>
      </c>
      <c r="I5" s="7" t="s">
        <v>29</v>
      </c>
      <c r="J5" s="7"/>
      <c r="K5" s="7"/>
      <c r="L5" s="7"/>
      <c r="M5" s="7"/>
      <c r="N5" s="7"/>
      <c r="O5" s="7"/>
    </row>
    <row r="6" spans="3:15" x14ac:dyDescent="0.3">
      <c r="C6" s="3" t="s">
        <v>4</v>
      </c>
      <c r="D6" s="3" t="s">
        <v>5</v>
      </c>
      <c r="E6" s="4">
        <v>12500</v>
      </c>
      <c r="F6" s="4">
        <v>12000</v>
      </c>
      <c r="G6" s="5">
        <v>1.0417000000000001</v>
      </c>
      <c r="I6" s="7"/>
      <c r="J6" s="7"/>
      <c r="K6" s="7"/>
      <c r="L6" s="7"/>
      <c r="M6" s="7"/>
      <c r="N6" s="7"/>
      <c r="O6" s="7"/>
    </row>
    <row r="7" spans="3:15" x14ac:dyDescent="0.3">
      <c r="C7" s="3" t="s">
        <v>6</v>
      </c>
      <c r="D7" s="3" t="s">
        <v>7</v>
      </c>
      <c r="E7" s="4">
        <v>9800</v>
      </c>
      <c r="F7" s="4">
        <v>11000</v>
      </c>
      <c r="G7" s="5">
        <v>0.89090000000000003</v>
      </c>
    </row>
    <row r="8" spans="3:15" ht="14.4" customHeight="1" x14ac:dyDescent="0.3">
      <c r="C8" s="3" t="s">
        <v>8</v>
      </c>
      <c r="D8" s="3" t="s">
        <v>9</v>
      </c>
      <c r="E8" s="4">
        <v>14300</v>
      </c>
      <c r="F8" s="4">
        <v>13000</v>
      </c>
      <c r="G8" s="5">
        <v>1.1000000000000001</v>
      </c>
      <c r="I8" s="10" t="s">
        <v>31</v>
      </c>
      <c r="J8" s="10"/>
      <c r="K8" s="10"/>
      <c r="L8" s="10"/>
      <c r="M8" s="11"/>
      <c r="N8" s="11"/>
      <c r="O8" s="9"/>
    </row>
    <row r="9" spans="3:15" x14ac:dyDescent="0.3">
      <c r="C9" s="3" t="s">
        <v>10</v>
      </c>
      <c r="D9" s="3" t="s">
        <v>11</v>
      </c>
      <c r="E9" s="4">
        <v>7600</v>
      </c>
      <c r="F9" s="4">
        <v>9000</v>
      </c>
      <c r="G9" s="5">
        <v>0.84439999999999993</v>
      </c>
      <c r="I9" s="11"/>
      <c r="J9" s="11"/>
      <c r="K9" s="11"/>
      <c r="L9" s="11"/>
      <c r="M9" s="11"/>
      <c r="N9" s="11"/>
      <c r="O9" s="11"/>
    </row>
    <row r="10" spans="3:15" ht="14.4" customHeight="1" x14ac:dyDescent="0.3">
      <c r="C10" s="3" t="s">
        <v>12</v>
      </c>
      <c r="D10" s="3" t="s">
        <v>5</v>
      </c>
      <c r="E10" s="4">
        <v>15800</v>
      </c>
      <c r="F10" s="4">
        <v>15000</v>
      </c>
      <c r="G10" s="5">
        <v>1.0532999999999999</v>
      </c>
      <c r="I10" s="10" t="s">
        <v>32</v>
      </c>
      <c r="J10" s="10"/>
      <c r="K10" s="10"/>
      <c r="L10" s="10"/>
      <c r="M10" s="11"/>
      <c r="N10" s="11"/>
      <c r="O10" s="9"/>
    </row>
    <row r="11" spans="3:15" ht="14.4" customHeight="1" x14ac:dyDescent="0.3">
      <c r="C11" s="3" t="s">
        <v>13</v>
      </c>
      <c r="D11" s="3" t="s">
        <v>7</v>
      </c>
      <c r="E11" s="4">
        <v>11200</v>
      </c>
      <c r="F11" s="4">
        <v>12000</v>
      </c>
      <c r="G11" s="5">
        <v>0.93330000000000002</v>
      </c>
      <c r="I11" s="12"/>
      <c r="J11" s="12"/>
      <c r="K11" s="12"/>
      <c r="L11" s="12"/>
      <c r="M11" s="12"/>
      <c r="N11" s="12"/>
      <c r="O11" s="12"/>
    </row>
    <row r="12" spans="3:15" ht="14.4" customHeight="1" x14ac:dyDescent="0.3">
      <c r="C12" s="3" t="s">
        <v>14</v>
      </c>
      <c r="D12" s="3" t="s">
        <v>9</v>
      </c>
      <c r="E12" s="4">
        <v>8900</v>
      </c>
      <c r="F12" s="4">
        <v>8500</v>
      </c>
      <c r="G12" s="5">
        <v>1.0470999999999999</v>
      </c>
      <c r="I12" s="10" t="s">
        <v>34</v>
      </c>
      <c r="J12" s="10"/>
      <c r="K12" s="10"/>
      <c r="L12" s="10"/>
      <c r="M12" s="10"/>
      <c r="N12" s="11"/>
      <c r="O12" s="9"/>
    </row>
    <row r="13" spans="3:15" x14ac:dyDescent="0.3">
      <c r="C13" s="3" t="s">
        <v>15</v>
      </c>
      <c r="D13" s="3" t="s">
        <v>11</v>
      </c>
      <c r="E13" s="4">
        <v>17200</v>
      </c>
      <c r="F13" s="4">
        <v>16000</v>
      </c>
      <c r="G13" s="5">
        <v>1.075</v>
      </c>
      <c r="I13" s="13"/>
      <c r="J13" s="13"/>
      <c r="K13" s="13"/>
      <c r="L13" s="13"/>
      <c r="M13" s="13"/>
      <c r="N13" s="13"/>
      <c r="O13" s="13"/>
    </row>
    <row r="14" spans="3:15" ht="14.4" customHeight="1" x14ac:dyDescent="0.3">
      <c r="C14" s="3" t="s">
        <v>16</v>
      </c>
      <c r="D14" s="3" t="s">
        <v>5</v>
      </c>
      <c r="E14" s="4">
        <v>6900</v>
      </c>
      <c r="F14" s="4">
        <v>8000</v>
      </c>
      <c r="G14" s="5">
        <v>0.86250000000000004</v>
      </c>
      <c r="I14" s="10" t="s">
        <v>35</v>
      </c>
      <c r="J14" s="10"/>
      <c r="K14" s="10"/>
      <c r="L14" s="10"/>
      <c r="M14" s="10"/>
      <c r="N14" s="10"/>
      <c r="O14" s="9"/>
    </row>
    <row r="15" spans="3:15" x14ac:dyDescent="0.3">
      <c r="C15" s="3" t="s">
        <v>17</v>
      </c>
      <c r="D15" s="3" t="s">
        <v>7</v>
      </c>
      <c r="E15" s="4">
        <v>13400</v>
      </c>
      <c r="F15" s="4">
        <v>12500</v>
      </c>
      <c r="G15" s="5">
        <v>1.0720000000000001</v>
      </c>
      <c r="I15" s="11"/>
      <c r="J15" s="11"/>
      <c r="K15" s="11"/>
      <c r="L15" s="11"/>
      <c r="M15" s="11"/>
      <c r="N15" s="11"/>
      <c r="O15" s="11"/>
    </row>
    <row r="16" spans="3:15" ht="14.4" customHeight="1" x14ac:dyDescent="0.3">
      <c r="C16" s="3" t="s">
        <v>18</v>
      </c>
      <c r="D16" s="3" t="s">
        <v>9</v>
      </c>
      <c r="E16" s="4">
        <v>10100</v>
      </c>
      <c r="F16" s="4">
        <v>10000</v>
      </c>
      <c r="G16" s="5">
        <v>1.01</v>
      </c>
      <c r="I16" s="10" t="s">
        <v>33</v>
      </c>
      <c r="J16" s="10"/>
      <c r="K16" s="10"/>
      <c r="L16" s="10"/>
      <c r="M16" s="11"/>
      <c r="N16" s="11"/>
      <c r="O16" s="9"/>
    </row>
    <row r="17" spans="3:15" x14ac:dyDescent="0.3">
      <c r="C17" s="3" t="s">
        <v>19</v>
      </c>
      <c r="D17" s="3" t="s">
        <v>11</v>
      </c>
      <c r="E17" s="4">
        <v>8200</v>
      </c>
      <c r="F17" s="4">
        <v>9500</v>
      </c>
      <c r="G17" s="5">
        <v>0.86319999999999997</v>
      </c>
      <c r="I17" s="13"/>
      <c r="J17" s="13"/>
      <c r="K17" s="13"/>
      <c r="L17" s="13"/>
      <c r="M17" s="13"/>
      <c r="N17" s="13"/>
      <c r="O17" s="13"/>
    </row>
    <row r="18" spans="3:15" ht="14.4" customHeight="1" x14ac:dyDescent="0.3">
      <c r="C18" s="3" t="s">
        <v>21</v>
      </c>
      <c r="D18" s="3"/>
      <c r="E18" s="4">
        <f>SUBTOTAL(101,Table1456[Ventas ($)])</f>
        <v>11325</v>
      </c>
      <c r="F18" s="4">
        <f>SUBTOTAL(101,Table1456[Meta ($)])</f>
        <v>11375</v>
      </c>
      <c r="G18" s="6">
        <f>SUBTOTAL(101,Table1456[Cumplimeinto])</f>
        <v>0.98278333333333345</v>
      </c>
      <c r="I18" s="10" t="s">
        <v>30</v>
      </c>
      <c r="J18" s="10"/>
      <c r="K18" s="10"/>
      <c r="L18" s="10"/>
      <c r="M18" s="10"/>
      <c r="N18" s="11"/>
      <c r="O18" s="9"/>
    </row>
    <row r="19" spans="3:15" x14ac:dyDescent="0.3">
      <c r="I19" s="13"/>
      <c r="J19" s="13"/>
      <c r="K19" s="13"/>
      <c r="L19" s="13"/>
      <c r="M19" s="13"/>
      <c r="N19" s="13"/>
    </row>
  </sheetData>
  <mergeCells count="7">
    <mergeCell ref="I12:M12"/>
    <mergeCell ref="I14:N14"/>
    <mergeCell ref="I18:M18"/>
    <mergeCell ref="I8:L8"/>
    <mergeCell ref="I10:L10"/>
    <mergeCell ref="I5:O6"/>
    <mergeCell ref="I16:L16"/>
  </mergeCells>
  <conditionalFormatting sqref="E6:E17">
    <cfRule type="aboveAverage" dxfId="5" priority="3"/>
  </conditionalFormatting>
  <conditionalFormatting sqref="F6:F17">
    <cfRule type="top10" dxfId="4" priority="2" rank="3"/>
  </conditionalFormatting>
  <conditionalFormatting sqref="G6:G17">
    <cfRule type="expression" dxfId="3" priority="1">
      <formula>IF($G6&gt;0.95,TRUE,FALSE)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Íconos</vt:lpstr>
      <vt:lpstr>Escala de Color</vt:lpstr>
      <vt:lpstr>Barras</vt:lpstr>
      <vt:lpstr>Personalizado</vt:lpstr>
      <vt:lpstr>Reglas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MARCO QUISPE HUAMAN</dc:creator>
  <cp:lastModifiedBy>JOAO MARCO QUISPE HUAMAN</cp:lastModifiedBy>
  <dcterms:created xsi:type="dcterms:W3CDTF">2026-06-06T04:51:27Z</dcterms:created>
  <dcterms:modified xsi:type="dcterms:W3CDTF">2026-06-07T05:53:54Z</dcterms:modified>
</cp:coreProperties>
</file>