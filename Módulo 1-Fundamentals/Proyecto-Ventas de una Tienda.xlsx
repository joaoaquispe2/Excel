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Estudio\Excel\Módulo1\"/>
    </mc:Choice>
  </mc:AlternateContent>
  <xr:revisionPtr revIDLastSave="0" documentId="13_ncr:1_{F59028F3-FFA2-480D-B0E5-64835F89A26D}" xr6:coauthVersionLast="47" xr6:coauthVersionMax="47" xr10:uidLastSave="{00000000-0000-0000-0000-000000000000}"/>
  <bookViews>
    <workbookView xWindow="-108" yWindow="-108" windowWidth="23256" windowHeight="12456" xr2:uid="{9BA27D3B-2FB7-4ABC-8954-B62EEBBE2D1A}"/>
  </bookViews>
  <sheets>
    <sheet name="Proyecto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2" i="1" l="1"/>
  <c r="H11" i="1"/>
  <c r="H93" i="1"/>
  <c r="H88" i="1"/>
  <c r="H49" i="1"/>
  <c r="H73" i="1"/>
  <c r="H97" i="1"/>
  <c r="H101" i="1"/>
  <c r="H59" i="1"/>
  <c r="H40" i="1"/>
  <c r="H18" i="1"/>
  <c r="H8" i="1"/>
  <c r="H57" i="1"/>
  <c r="H70" i="1"/>
  <c r="H60" i="1"/>
  <c r="H84" i="1"/>
  <c r="H43" i="1"/>
  <c r="H20" i="1"/>
  <c r="H82" i="1"/>
  <c r="H81" i="1"/>
  <c r="H27" i="1"/>
  <c r="H51" i="1"/>
  <c r="H92" i="1"/>
  <c r="H100" i="1"/>
  <c r="H44" i="1"/>
  <c r="H24" i="1"/>
  <c r="H29" i="1"/>
  <c r="H6" i="1"/>
  <c r="H37" i="1"/>
  <c r="H63" i="1"/>
  <c r="H47" i="1"/>
  <c r="H77" i="1"/>
  <c r="H34" i="1"/>
  <c r="H10" i="1"/>
  <c r="H91" i="1"/>
  <c r="H78" i="1"/>
  <c r="H46" i="1"/>
  <c r="H72" i="1"/>
  <c r="H94" i="1"/>
  <c r="H99" i="1"/>
  <c r="H66" i="1"/>
  <c r="H39" i="1"/>
  <c r="H15" i="1"/>
  <c r="H13" i="1"/>
  <c r="H48" i="1"/>
  <c r="H75" i="1"/>
  <c r="H65" i="1"/>
  <c r="H76" i="1"/>
  <c r="H54" i="1"/>
  <c r="H22" i="1"/>
  <c r="H87" i="1"/>
  <c r="H74" i="1"/>
  <c r="H17" i="1"/>
  <c r="H52" i="1"/>
  <c r="H86" i="1"/>
  <c r="H98" i="1"/>
  <c r="H35" i="1"/>
  <c r="H67" i="1"/>
  <c r="H16" i="1"/>
  <c r="H7" i="1"/>
  <c r="H28" i="1"/>
  <c r="H61" i="1"/>
  <c r="H55" i="1"/>
  <c r="H71" i="1"/>
  <c r="H31" i="1"/>
  <c r="H4" i="1"/>
  <c r="H89" i="1"/>
  <c r="H80" i="1"/>
  <c r="H41" i="1"/>
  <c r="H32" i="1"/>
  <c r="H90" i="1"/>
  <c r="H96" i="1"/>
  <c r="H56" i="1"/>
  <c r="H38" i="1"/>
  <c r="H12" i="1"/>
  <c r="H3" i="1"/>
  <c r="H58" i="1"/>
  <c r="H53" i="1"/>
  <c r="H36" i="1"/>
  <c r="H68" i="1"/>
  <c r="H26" i="1"/>
  <c r="H9" i="1"/>
  <c r="H85" i="1"/>
  <c r="H69" i="1"/>
  <c r="H25" i="1"/>
  <c r="H50" i="1"/>
  <c r="H83" i="1"/>
  <c r="H95" i="1"/>
  <c r="H42" i="1"/>
  <c r="H23" i="1"/>
  <c r="H14" i="1"/>
  <c r="H5" i="1"/>
  <c r="H33" i="1"/>
  <c r="H45" i="1"/>
  <c r="H30" i="1"/>
  <c r="H62" i="1"/>
  <c r="H21" i="1"/>
  <c r="H19" i="1"/>
  <c r="H79" i="1"/>
  <c r="H64" i="1"/>
  <c r="H102" i="1" l="1"/>
</calcChain>
</file>

<file path=xl/sharedStrings.xml><?xml version="1.0" encoding="utf-8"?>
<sst xmlns="http://schemas.openxmlformats.org/spreadsheetml/2006/main" count="314" uniqueCount="43">
  <si>
    <t>Fecha</t>
  </si>
  <si>
    <t>Vendedor</t>
  </si>
  <si>
    <t>Producto</t>
  </si>
  <si>
    <t>Cantidad</t>
  </si>
  <si>
    <t>Total</t>
  </si>
  <si>
    <t>Ana</t>
  </si>
  <si>
    <t>Laptop</t>
  </si>
  <si>
    <t>Luis</t>
  </si>
  <si>
    <t>Mouse</t>
  </si>
  <si>
    <t>Monitor</t>
  </si>
  <si>
    <t>Pedro</t>
  </si>
  <si>
    <t>Teclado</t>
  </si>
  <si>
    <t>Impresora</t>
  </si>
  <si>
    <t>Oficina</t>
  </si>
  <si>
    <t>Silla</t>
  </si>
  <si>
    <t>Escritorio</t>
  </si>
  <si>
    <t>Categoria</t>
  </si>
  <si>
    <t>Precio Unitario</t>
  </si>
  <si>
    <t>Electrónica</t>
  </si>
  <si>
    <t>Carlos</t>
  </si>
  <si>
    <t>María</t>
  </si>
  <si>
    <t>Sofía</t>
  </si>
  <si>
    <t>Cuaderno</t>
  </si>
  <si>
    <t>Bolígrafo</t>
  </si>
  <si>
    <t>Valeria</t>
  </si>
  <si>
    <t>Jorge</t>
  </si>
  <si>
    <t>Tablet</t>
  </si>
  <si>
    <t>Smartphone</t>
  </si>
  <si>
    <t>Audífonos</t>
  </si>
  <si>
    <t>Webcam</t>
  </si>
  <si>
    <t>Router</t>
  </si>
  <si>
    <t>USB 64GB</t>
  </si>
  <si>
    <t>Disco SSD</t>
  </si>
  <si>
    <t>Venta Total</t>
  </si>
  <si>
    <t>Preguntas</t>
  </si>
  <si>
    <t>1. ¿Cuánto se vendio en laptops?</t>
  </si>
  <si>
    <t>2. ¿Cuántas unidades vendió Carlos?</t>
  </si>
  <si>
    <t>4. ¿Cuál fue el producto más vendido en Marzo?</t>
  </si>
  <si>
    <t>Bolígrafos, Cuadernos y USB 64GB</t>
  </si>
  <si>
    <t>3. ¿Qué productos se venden en compras grandes?     &lt;= 20</t>
  </si>
  <si>
    <t>Bolígrafos</t>
  </si>
  <si>
    <t>5. ¿Cuántas fueron las ventas más importantes?           &lt;=  10 000 soles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</si>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</sst>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0" fontId="0" fillId="0" borderId="0" xfId="0" applyNumberFormat="1"/>
    <xf numFmtId="170" fontId="1" fillId="0" borderId="0" xfId="0" applyNumberFormat="1" applyFont="1" applyBorder="1"/>
    <xf numFmtId="0" fontId="1" fillId="0" borderId="0" xfId="0" applyFont="1" applyAlignment="1">
      <alignment vertical="center" wrapText="1"/>
    </xf>
    <xf numFmtId="0" fontId="1" fillId="0" borderId="0" xfId="0" applyFont="1"/>
    <xf numFmtId="14" fontId="0" fillId="0" borderId="0" xfId="0" applyNumberFormat="1" applyFont="1"/>
    <xf numFmtId="0" fontId="0" fillId="0" borderId="0" xfId="0" applyFont="1"/>
    <xf numFmtId="170" fontId="0" fillId="0" borderId="0" xfId="0" applyNumberFormat="1" applyFont="1" applyAlignment="1">
      <alignment horizontal="center"/>
    </xf>
    <xf numFmtId="170" fontId="0" fillId="0" borderId="0" xfId="0" applyNumberFormat="1" applyFont="1"/>
    <xf numFmtId="14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170" fontId="0" fillId="0" borderId="0" xfId="0" applyNumberFormat="1" applyFont="1" applyAlignment="1">
      <alignment horizontal="center" vertical="center" wrapText="1"/>
    </xf>
    <xf numFmtId="170" fontId="0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10"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AA72D4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</dxf>
    <dxf>
      <font>
        <b val="0"/>
      </font>
      <numFmt numFmtId="170" formatCode="_-[$S/-280A]\ * #,##0.00_-;\-[$S/-280A]\ * #,##0.00_-;_-[$S/-280A]\ * &quot;-&quot;??_-;_-@_-"/>
      <alignment horizontal="center" textRotation="0" indent="0" justifyLastLine="0" shrinkToFit="0" readingOrder="0"/>
    </dxf>
    <dxf>
      <font>
        <b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b/>
        <i/>
        <color auto="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70" formatCode="_-[$S/-280A]\ * #,##0.00_-;\-[$S/-280A]\ * #,##0.00_-;_-[$S/-280A]\ * &quot;-&quot;??_-;_-@_-"/>
    </dxf>
    <dxf>
      <font>
        <b val="0"/>
      </font>
      <numFmt numFmtId="170" formatCode="_-[$S/-280A]\ * #,##0.00_-;\-[$S/-280A]\ * #,##0.00_-;_-[$S/-280A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  <numFmt numFmtId="19" formatCode="d/m/yyyy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8EE44-860B-4778-B362-DFF0A4866EF8}" name="Ventas" displayName="Ventas" ref="B2:H102" totalsRowCount="1" headerRowDxfId="109" dataDxfId="108">
  <autoFilter ref="B2:H101" xr:uid="{95C8EE44-860B-4778-B362-DFF0A4866EF8}"/>
  <sortState xmlns:xlrd2="http://schemas.microsoft.com/office/spreadsheetml/2017/richdata2" ref="B3:H101">
    <sortCondition descending="1" ref="H2:H101"/>
  </sortState>
  <tableColumns count="7">
    <tableColumn id="1" xr3:uid="{3D68DCC8-3484-40A1-9119-26B472A17DB3}" name="Fecha" totalsRowLabel="Total" dataDxfId="107"/>
    <tableColumn id="2" xr3:uid="{A2027028-7BAE-45FC-964C-989D933803E7}" name="Producto" dataDxfId="106"/>
    <tableColumn id="3" xr3:uid="{5A17EB5B-FBA1-4842-97FA-2F52816003FC}" name="Categoria" dataDxfId="105"/>
    <tableColumn id="4" xr3:uid="{C3B15B1E-4294-49D3-A10B-B48C021FA3BF}" name="Vendedor" dataDxfId="82"/>
    <tableColumn id="5" xr3:uid="{3F3E7836-BCB8-4E2C-A791-944EBD899908}" name="Cantidad" totalsRowFunction="sum" dataDxfId="80" totalsRowDxfId="104"/>
    <tableColumn id="6" xr3:uid="{DCF80B6D-942B-4A34-8643-E5ECA78BF2C3}" name="Precio Unitario" dataDxfId="81" totalsRowDxfId="103"/>
    <tableColumn id="7" xr3:uid="{2B142424-8D7C-4469-85DB-9BD89C32B550}" name="Venta Total" totalsRowFunction="sum" dataDxfId="102" totalsRowDxfId="101">
      <calculatedColumnFormula>Ventas[[#This Row],[Cantidad]]*Ventas[[#This Row],[Precio Unitario]]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8010-C7B7-4782-9F26-D3DBC5D01F61}">
  <dimension ref="B2:S102"/>
  <sheetViews>
    <sheetView tabSelected="1" workbookViewId="0">
      <selection activeCell="F17" sqref="F17"/>
    </sheetView>
  </sheetViews>
  <sheetFormatPr defaultRowHeight="14.4" x14ac:dyDescent="0.3"/>
  <cols>
    <col min="2" max="2" width="13" customWidth="1"/>
    <col min="3" max="3" width="15.77734375" customWidth="1"/>
    <col min="4" max="4" width="16.6640625" customWidth="1"/>
    <col min="5" max="5" width="15.33203125" customWidth="1"/>
    <col min="6" max="6" width="14.77734375" customWidth="1"/>
    <col min="7" max="7" width="20" customWidth="1"/>
    <col min="8" max="8" width="18.88671875" customWidth="1"/>
    <col min="9" max="11" width="8.88671875" customWidth="1"/>
    <col min="14" max="14" width="8.88671875" customWidth="1"/>
    <col min="15" max="15" width="16.5546875" customWidth="1"/>
    <col min="19" max="19" width="8.88671875" customWidth="1"/>
  </cols>
  <sheetData>
    <row r="2" spans="2:19" ht="15.6" customHeight="1" x14ac:dyDescent="0.3">
      <c r="B2" s="1" t="s">
        <v>0</v>
      </c>
      <c r="C2" s="1" t="s">
        <v>2</v>
      </c>
      <c r="D2" s="1" t="s">
        <v>16</v>
      </c>
      <c r="E2" s="1" t="s">
        <v>1</v>
      </c>
      <c r="F2" s="1" t="s">
        <v>3</v>
      </c>
      <c r="G2" s="1" t="s">
        <v>17</v>
      </c>
      <c r="H2" s="1" t="s">
        <v>33</v>
      </c>
      <c r="I2" s="1"/>
      <c r="J2" s="16"/>
      <c r="K2" s="1"/>
    </row>
    <row r="3" spans="2:19" ht="15.6" customHeight="1" x14ac:dyDescent="0.3">
      <c r="B3" s="10">
        <v>46098</v>
      </c>
      <c r="C3" s="11" t="s">
        <v>27</v>
      </c>
      <c r="D3" s="11" t="s">
        <v>18</v>
      </c>
      <c r="E3" s="11" t="s">
        <v>20</v>
      </c>
      <c r="F3" s="21">
        <v>6</v>
      </c>
      <c r="G3" s="12">
        <v>1950</v>
      </c>
      <c r="H3" s="13">
        <f>Ventas[[#This Row],[Cantidad]]*Ventas[[#This Row],[Precio Unitario]]</f>
        <v>11700</v>
      </c>
      <c r="I3" s="2"/>
      <c r="J3" s="23" t="s">
        <v>34</v>
      </c>
      <c r="K3" s="23"/>
      <c r="L3" s="23"/>
      <c r="M3" s="23"/>
      <c r="N3" s="23"/>
      <c r="O3" s="23"/>
    </row>
    <row r="4" spans="2:19" x14ac:dyDescent="0.3">
      <c r="B4" s="10">
        <v>46088</v>
      </c>
      <c r="C4" s="11" t="s">
        <v>6</v>
      </c>
      <c r="D4" s="11" t="s">
        <v>18</v>
      </c>
      <c r="E4" s="11" t="s">
        <v>5</v>
      </c>
      <c r="F4" s="21">
        <v>3</v>
      </c>
      <c r="G4" s="12">
        <v>3450</v>
      </c>
      <c r="H4" s="13">
        <f>Ventas[[#This Row],[Cantidad]]*Ventas[[#This Row],[Precio Unitario]]</f>
        <v>10350</v>
      </c>
      <c r="I4" s="2"/>
      <c r="J4" s="2"/>
      <c r="K4" s="2"/>
      <c r="M4" s="2"/>
      <c r="N4" s="2"/>
      <c r="O4" s="2"/>
      <c r="P4" s="2"/>
      <c r="Q4" s="2"/>
      <c r="R4" s="2"/>
      <c r="S4" s="2"/>
    </row>
    <row r="5" spans="2:19" x14ac:dyDescent="0.3">
      <c r="B5" s="10">
        <v>46114</v>
      </c>
      <c r="C5" s="11" t="s">
        <v>27</v>
      </c>
      <c r="D5" s="11" t="s">
        <v>18</v>
      </c>
      <c r="E5" s="11" t="s">
        <v>20</v>
      </c>
      <c r="F5" s="21">
        <v>5</v>
      </c>
      <c r="G5" s="12">
        <v>2000</v>
      </c>
      <c r="H5" s="13">
        <f>Ventas[[#This Row],[Cantidad]]*Ventas[[#This Row],[Precio Unitario]]</f>
        <v>10000</v>
      </c>
      <c r="I5" s="2"/>
      <c r="J5" s="4" t="s">
        <v>35</v>
      </c>
      <c r="K5" s="4"/>
      <c r="L5" s="4"/>
      <c r="M5" s="4"/>
      <c r="N5" s="4"/>
      <c r="O5" s="7">
        <v>40950</v>
      </c>
      <c r="P5" s="2"/>
      <c r="Q5" s="2"/>
      <c r="R5" s="2"/>
      <c r="S5" s="2"/>
    </row>
    <row r="6" spans="2:19" x14ac:dyDescent="0.3">
      <c r="B6" s="10">
        <v>46050</v>
      </c>
      <c r="C6" s="11" t="s">
        <v>27</v>
      </c>
      <c r="D6" s="11" t="s">
        <v>18</v>
      </c>
      <c r="E6" s="11" t="s">
        <v>20</v>
      </c>
      <c r="F6" s="21">
        <v>5</v>
      </c>
      <c r="G6" s="12">
        <v>1900</v>
      </c>
      <c r="H6" s="13">
        <f>Ventas[[#This Row],[Cantidad]]*Ventas[[#This Row],[Precio Unitario]]</f>
        <v>9500</v>
      </c>
      <c r="I6" s="2"/>
      <c r="J6" s="3"/>
      <c r="K6" s="3"/>
      <c r="L6" s="5"/>
      <c r="M6" s="5"/>
      <c r="N6" s="5"/>
    </row>
    <row r="7" spans="2:19" x14ac:dyDescent="0.3">
      <c r="B7" s="10">
        <v>46082</v>
      </c>
      <c r="C7" s="11" t="s">
        <v>27</v>
      </c>
      <c r="D7" s="11" t="s">
        <v>18</v>
      </c>
      <c r="E7" s="11" t="s">
        <v>20</v>
      </c>
      <c r="F7" s="21">
        <v>4</v>
      </c>
      <c r="G7" s="12">
        <v>1850</v>
      </c>
      <c r="H7" s="13">
        <f>Ventas[[#This Row],[Cantidad]]*Ventas[[#This Row],[Precio Unitario]]</f>
        <v>7400</v>
      </c>
      <c r="I7" s="2"/>
      <c r="J7" s="3"/>
      <c r="K7" s="3"/>
      <c r="L7" s="5"/>
      <c r="M7" s="3" t="s">
        <v>42</v>
      </c>
      <c r="N7" s="3"/>
      <c r="O7" s="2"/>
      <c r="P7" s="2"/>
      <c r="Q7" s="2"/>
      <c r="R7" s="2"/>
      <c r="S7" s="2"/>
    </row>
    <row r="8" spans="2:19" x14ac:dyDescent="0.3">
      <c r="B8" s="14">
        <v>46034</v>
      </c>
      <c r="C8" s="14" t="s">
        <v>27</v>
      </c>
      <c r="D8" s="15" t="s">
        <v>18</v>
      </c>
      <c r="E8" s="15" t="s">
        <v>20</v>
      </c>
      <c r="F8" s="22">
        <v>4</v>
      </c>
      <c r="G8" s="17">
        <v>1800</v>
      </c>
      <c r="H8" s="18">
        <f>Ventas[[#This Row],[Cantidad]]*Ventas[[#This Row],[Precio Unitario]]</f>
        <v>7200</v>
      </c>
      <c r="I8" s="2"/>
      <c r="J8" s="4" t="s">
        <v>36</v>
      </c>
      <c r="K8" s="4"/>
      <c r="L8" s="4"/>
      <c r="M8" s="4"/>
      <c r="N8" s="4"/>
      <c r="O8" s="8">
        <v>76</v>
      </c>
      <c r="P8" s="2"/>
      <c r="Q8" s="2"/>
      <c r="R8" s="2"/>
      <c r="S8" s="2"/>
    </row>
    <row r="9" spans="2:19" x14ac:dyDescent="0.3">
      <c r="B9" s="10">
        <v>46104</v>
      </c>
      <c r="C9" s="11" t="s">
        <v>6</v>
      </c>
      <c r="D9" s="11" t="s">
        <v>18</v>
      </c>
      <c r="E9" s="11" t="s">
        <v>5</v>
      </c>
      <c r="F9" s="21">
        <v>2</v>
      </c>
      <c r="G9" s="12">
        <v>3550</v>
      </c>
      <c r="H9" s="13">
        <f>Ventas[[#This Row],[Cantidad]]*Ventas[[#This Row],[Precio Unitario]]</f>
        <v>7100</v>
      </c>
      <c r="I9" s="2"/>
      <c r="J9" s="3"/>
      <c r="K9" s="3"/>
      <c r="L9" s="5"/>
      <c r="M9" s="5"/>
      <c r="N9" s="5"/>
    </row>
    <row r="10" spans="2:19" ht="14.4" customHeight="1" x14ac:dyDescent="0.3">
      <c r="B10" s="10">
        <v>46056</v>
      </c>
      <c r="C10" s="11" t="s">
        <v>6</v>
      </c>
      <c r="D10" s="11" t="s">
        <v>18</v>
      </c>
      <c r="E10" s="11" t="s">
        <v>5</v>
      </c>
      <c r="F10" s="21">
        <v>2</v>
      </c>
      <c r="G10" s="12">
        <v>3300</v>
      </c>
      <c r="H10" s="13">
        <f>Ventas[[#This Row],[Cantidad]]*Ventas[[#This Row],[Precio Unitario]]</f>
        <v>6600</v>
      </c>
      <c r="I10" s="2"/>
      <c r="J10" s="3"/>
      <c r="K10" s="3"/>
      <c r="L10" s="5"/>
      <c r="M10" s="3"/>
      <c r="N10" s="3"/>
      <c r="O10" s="2"/>
      <c r="P10" s="2"/>
      <c r="Q10" s="2"/>
      <c r="R10" s="2"/>
      <c r="S10" s="2"/>
    </row>
    <row r="11" spans="2:19" x14ac:dyDescent="0.3">
      <c r="B11" s="14">
        <v>46024</v>
      </c>
      <c r="C11" s="14" t="s">
        <v>6</v>
      </c>
      <c r="D11" s="15" t="s">
        <v>18</v>
      </c>
      <c r="E11" s="15" t="s">
        <v>5</v>
      </c>
      <c r="F11" s="22">
        <v>2</v>
      </c>
      <c r="G11" s="17">
        <v>3200</v>
      </c>
      <c r="H11" s="18">
        <f>Ventas[[#This Row],[Cantidad]]*Ventas[[#This Row],[Precio Unitario]]</f>
        <v>6400</v>
      </c>
      <c r="I11" s="2"/>
      <c r="J11" s="4" t="s">
        <v>39</v>
      </c>
      <c r="K11" s="4"/>
      <c r="L11" s="4"/>
      <c r="M11" s="4"/>
      <c r="N11" s="4"/>
      <c r="O11" s="20" t="s">
        <v>38</v>
      </c>
      <c r="P11" s="2"/>
      <c r="Q11" s="2"/>
      <c r="R11" s="2"/>
      <c r="S11" s="2"/>
    </row>
    <row r="12" spans="2:19" ht="14.4" customHeight="1" x14ac:dyDescent="0.3">
      <c r="B12" s="10">
        <v>46097</v>
      </c>
      <c r="C12" s="11" t="s">
        <v>26</v>
      </c>
      <c r="D12" s="11" t="s">
        <v>18</v>
      </c>
      <c r="E12" s="11" t="s">
        <v>19</v>
      </c>
      <c r="F12" s="21">
        <v>5</v>
      </c>
      <c r="G12" s="12">
        <v>1270</v>
      </c>
      <c r="H12" s="13">
        <f>Ventas[[#This Row],[Cantidad]]*Ventas[[#This Row],[Precio Unitario]]</f>
        <v>6350</v>
      </c>
      <c r="I12" s="2"/>
      <c r="J12" s="4"/>
      <c r="K12" s="4"/>
      <c r="L12" s="4"/>
      <c r="M12" s="4"/>
      <c r="N12" s="4"/>
      <c r="O12" s="20"/>
      <c r="P12" s="2"/>
      <c r="Q12" s="2"/>
      <c r="R12" s="2"/>
      <c r="S12" s="2"/>
    </row>
    <row r="13" spans="2:19" x14ac:dyDescent="0.3">
      <c r="B13" s="10">
        <v>46066</v>
      </c>
      <c r="C13" s="11" t="s">
        <v>27</v>
      </c>
      <c r="D13" s="11" t="s">
        <v>18</v>
      </c>
      <c r="E13" s="11" t="s">
        <v>20</v>
      </c>
      <c r="F13" s="21">
        <v>3</v>
      </c>
      <c r="G13" s="12">
        <v>1750</v>
      </c>
      <c r="H13" s="13">
        <f>Ventas[[#This Row],[Cantidad]]*Ventas[[#This Row],[Precio Unitario]]</f>
        <v>5250</v>
      </c>
      <c r="I13" s="2"/>
      <c r="J13" s="3"/>
      <c r="K13" s="3"/>
      <c r="L13" s="5"/>
      <c r="M13" s="3"/>
      <c r="N13" s="3"/>
      <c r="O13" s="2"/>
      <c r="P13" s="2"/>
      <c r="Q13" s="2"/>
      <c r="R13" s="2"/>
      <c r="S13" s="2"/>
    </row>
    <row r="14" spans="2:19" ht="14.4" customHeight="1" x14ac:dyDescent="0.3">
      <c r="B14" s="10">
        <v>46113</v>
      </c>
      <c r="C14" s="11" t="s">
        <v>26</v>
      </c>
      <c r="D14" s="11" t="s">
        <v>18</v>
      </c>
      <c r="E14" s="11" t="s">
        <v>19</v>
      </c>
      <c r="F14" s="21">
        <v>4</v>
      </c>
      <c r="G14" s="12">
        <v>1300</v>
      </c>
      <c r="H14" s="13">
        <f>Ventas[[#This Row],[Cantidad]]*Ventas[[#This Row],[Precio Unitario]]</f>
        <v>5200</v>
      </c>
      <c r="I14" s="2"/>
      <c r="J14" s="4" t="s">
        <v>37</v>
      </c>
      <c r="K14" s="4"/>
      <c r="L14" s="4"/>
      <c r="M14" s="4"/>
      <c r="N14" s="4"/>
      <c r="O14" s="19" t="s">
        <v>40</v>
      </c>
      <c r="P14" s="2"/>
      <c r="Q14" s="2"/>
      <c r="R14" s="2"/>
      <c r="S14" s="2"/>
    </row>
    <row r="15" spans="2:19" x14ac:dyDescent="0.3">
      <c r="B15" s="10">
        <v>46065</v>
      </c>
      <c r="C15" s="11" t="s">
        <v>26</v>
      </c>
      <c r="D15" s="11" t="s">
        <v>18</v>
      </c>
      <c r="E15" s="11" t="s">
        <v>19</v>
      </c>
      <c r="F15" s="21">
        <v>4</v>
      </c>
      <c r="G15" s="12">
        <v>1180</v>
      </c>
      <c r="H15" s="13">
        <f>Ventas[[#This Row],[Cantidad]]*Ventas[[#This Row],[Precio Unitario]]</f>
        <v>4720</v>
      </c>
      <c r="I15" s="2"/>
      <c r="J15" s="3"/>
      <c r="K15" s="3"/>
      <c r="L15" s="5"/>
      <c r="M15" s="3"/>
      <c r="N15" s="3"/>
      <c r="O15" s="2"/>
      <c r="P15" s="2"/>
      <c r="Q15" s="2"/>
      <c r="R15" s="2"/>
      <c r="S15" s="2"/>
    </row>
    <row r="16" spans="2:19" x14ac:dyDescent="0.3">
      <c r="B16" s="10">
        <v>46081</v>
      </c>
      <c r="C16" s="11" t="s">
        <v>26</v>
      </c>
      <c r="D16" s="11" t="s">
        <v>18</v>
      </c>
      <c r="E16" s="11" t="s">
        <v>19</v>
      </c>
      <c r="F16" s="21">
        <v>3</v>
      </c>
      <c r="G16" s="12">
        <v>1220</v>
      </c>
      <c r="H16" s="13">
        <f>Ventas[[#This Row],[Cantidad]]*Ventas[[#This Row],[Precio Unitario]]</f>
        <v>3660</v>
      </c>
      <c r="I16" s="2"/>
      <c r="J16" s="3"/>
      <c r="K16" s="3"/>
      <c r="L16" s="5"/>
      <c r="M16" s="5"/>
      <c r="N16" s="5"/>
    </row>
    <row r="17" spans="2:15" ht="14.4" customHeight="1" x14ac:dyDescent="0.3">
      <c r="B17" s="10">
        <v>46075</v>
      </c>
      <c r="C17" s="11" t="s">
        <v>9</v>
      </c>
      <c r="D17" s="11" t="s">
        <v>18</v>
      </c>
      <c r="E17" s="11" t="s">
        <v>7</v>
      </c>
      <c r="F17" s="21">
        <v>4</v>
      </c>
      <c r="G17" s="12">
        <v>910</v>
      </c>
      <c r="H17" s="13">
        <f>Ventas[[#This Row],[Cantidad]]*Ventas[[#This Row],[Precio Unitario]]</f>
        <v>3640</v>
      </c>
      <c r="I17" s="2"/>
      <c r="J17" s="4" t="s">
        <v>41</v>
      </c>
      <c r="K17" s="4"/>
      <c r="L17" s="4"/>
      <c r="M17" s="4"/>
      <c r="N17" s="4"/>
      <c r="O17" s="9">
        <v>3</v>
      </c>
    </row>
    <row r="18" spans="2:15" x14ac:dyDescent="0.3">
      <c r="B18" s="14">
        <v>46033</v>
      </c>
      <c r="C18" s="14" t="s">
        <v>26</v>
      </c>
      <c r="D18" s="15" t="s">
        <v>18</v>
      </c>
      <c r="E18" s="15" t="s">
        <v>19</v>
      </c>
      <c r="F18" s="22">
        <v>3</v>
      </c>
      <c r="G18" s="17">
        <v>1200</v>
      </c>
      <c r="H18" s="18">
        <f>Ventas[[#This Row],[Cantidad]]*Ventas[[#This Row],[Precio Unitario]]</f>
        <v>3600</v>
      </c>
      <c r="J18" s="4"/>
      <c r="K18" s="4"/>
      <c r="L18" s="4"/>
      <c r="M18" s="4"/>
      <c r="N18" s="4"/>
    </row>
    <row r="19" spans="2:15" x14ac:dyDescent="0.3">
      <c r="B19" s="10">
        <v>46120</v>
      </c>
      <c r="C19" s="11" t="s">
        <v>6</v>
      </c>
      <c r="D19" s="11" t="s">
        <v>18</v>
      </c>
      <c r="E19" s="11" t="s">
        <v>5</v>
      </c>
      <c r="F19" s="21">
        <v>1</v>
      </c>
      <c r="G19" s="12">
        <v>3600</v>
      </c>
      <c r="H19" s="13">
        <f>Ventas[[#This Row],[Cantidad]]*Ventas[[#This Row],[Precio Unitario]]</f>
        <v>3600</v>
      </c>
    </row>
    <row r="20" spans="2:15" x14ac:dyDescent="0.3">
      <c r="B20" s="10">
        <v>46040</v>
      </c>
      <c r="C20" s="11" t="s">
        <v>6</v>
      </c>
      <c r="D20" s="11" t="s">
        <v>18</v>
      </c>
      <c r="E20" s="11" t="s">
        <v>5</v>
      </c>
      <c r="F20" s="21">
        <v>1</v>
      </c>
      <c r="G20" s="12">
        <v>3500</v>
      </c>
      <c r="H20" s="13">
        <f>Ventas[[#This Row],[Cantidad]]*Ventas[[#This Row],[Precio Unitario]]</f>
        <v>3500</v>
      </c>
    </row>
    <row r="21" spans="2:15" x14ac:dyDescent="0.3">
      <c r="B21" s="10">
        <v>46119</v>
      </c>
      <c r="C21" s="11" t="s">
        <v>32</v>
      </c>
      <c r="D21" s="11" t="s">
        <v>18</v>
      </c>
      <c r="E21" s="11" t="s">
        <v>25</v>
      </c>
      <c r="F21" s="21">
        <v>12</v>
      </c>
      <c r="G21" s="12">
        <v>290</v>
      </c>
      <c r="H21" s="13">
        <f>Ventas[[#This Row],[Cantidad]]*Ventas[[#This Row],[Precio Unitario]]</f>
        <v>3480</v>
      </c>
    </row>
    <row r="22" spans="2:15" x14ac:dyDescent="0.3">
      <c r="B22" s="10">
        <v>46072</v>
      </c>
      <c r="C22" s="11" t="s">
        <v>6</v>
      </c>
      <c r="D22" s="11" t="s">
        <v>18</v>
      </c>
      <c r="E22" s="11" t="s">
        <v>5</v>
      </c>
      <c r="F22" s="21">
        <v>1</v>
      </c>
      <c r="G22" s="12">
        <v>3400</v>
      </c>
      <c r="H22" s="13">
        <f>Ventas[[#This Row],[Cantidad]]*Ventas[[#This Row],[Precio Unitario]]</f>
        <v>3400</v>
      </c>
    </row>
    <row r="23" spans="2:15" x14ac:dyDescent="0.3">
      <c r="B23" s="10">
        <v>46112</v>
      </c>
      <c r="C23" s="11" t="s">
        <v>15</v>
      </c>
      <c r="D23" s="11" t="s">
        <v>13</v>
      </c>
      <c r="E23" s="11" t="s">
        <v>5</v>
      </c>
      <c r="F23" s="21">
        <v>3</v>
      </c>
      <c r="G23" s="12">
        <v>1020</v>
      </c>
      <c r="H23" s="13">
        <f>Ventas[[#This Row],[Cantidad]]*Ventas[[#This Row],[Precio Unitario]]</f>
        <v>3060</v>
      </c>
      <c r="K23" s="9"/>
    </row>
    <row r="24" spans="2:15" x14ac:dyDescent="0.3">
      <c r="B24" s="10">
        <v>46048</v>
      </c>
      <c r="C24" s="11" t="s">
        <v>15</v>
      </c>
      <c r="D24" s="11" t="s">
        <v>13</v>
      </c>
      <c r="E24" s="11" t="s">
        <v>5</v>
      </c>
      <c r="F24" s="21">
        <v>3</v>
      </c>
      <c r="G24" s="12">
        <v>980</v>
      </c>
      <c r="H24" s="13">
        <f>Ventas[[#This Row],[Cantidad]]*Ventas[[#This Row],[Precio Unitario]]</f>
        <v>2940</v>
      </c>
    </row>
    <row r="25" spans="2:15" x14ac:dyDescent="0.3">
      <c r="B25" s="10">
        <v>46107</v>
      </c>
      <c r="C25" s="11" t="s">
        <v>9</v>
      </c>
      <c r="D25" s="11" t="s">
        <v>18</v>
      </c>
      <c r="E25" s="11" t="s">
        <v>7</v>
      </c>
      <c r="F25" s="21">
        <v>3</v>
      </c>
      <c r="G25" s="12">
        <v>950</v>
      </c>
      <c r="H25" s="13">
        <f>Ventas[[#This Row],[Cantidad]]*Ventas[[#This Row],[Precio Unitario]]</f>
        <v>2850</v>
      </c>
    </row>
    <row r="26" spans="2:15" x14ac:dyDescent="0.3">
      <c r="B26" s="10">
        <v>46103</v>
      </c>
      <c r="C26" s="11" t="s">
        <v>32</v>
      </c>
      <c r="D26" s="11" t="s">
        <v>18</v>
      </c>
      <c r="E26" s="11" t="s">
        <v>25</v>
      </c>
      <c r="F26" s="21">
        <v>10</v>
      </c>
      <c r="G26" s="12">
        <v>280</v>
      </c>
      <c r="H26" s="13">
        <f>Ventas[[#This Row],[Cantidad]]*Ventas[[#This Row],[Precio Unitario]]</f>
        <v>2800</v>
      </c>
    </row>
    <row r="27" spans="2:15" x14ac:dyDescent="0.3">
      <c r="B27" s="10">
        <v>46043</v>
      </c>
      <c r="C27" s="11" t="s">
        <v>9</v>
      </c>
      <c r="D27" s="11" t="s">
        <v>18</v>
      </c>
      <c r="E27" s="11" t="s">
        <v>7</v>
      </c>
      <c r="F27" s="21">
        <v>3</v>
      </c>
      <c r="G27" s="12">
        <v>920</v>
      </c>
      <c r="H27" s="13">
        <f>Ventas[[#This Row],[Cantidad]]*Ventas[[#This Row],[Precio Unitario]]</f>
        <v>2760</v>
      </c>
    </row>
    <row r="28" spans="2:15" x14ac:dyDescent="0.3">
      <c r="B28" s="10">
        <v>46083</v>
      </c>
      <c r="C28" s="11" t="s">
        <v>28</v>
      </c>
      <c r="D28" s="11" t="s">
        <v>18</v>
      </c>
      <c r="E28" s="11" t="s">
        <v>7</v>
      </c>
      <c r="F28" s="21">
        <v>12</v>
      </c>
      <c r="G28" s="12">
        <v>210</v>
      </c>
      <c r="H28" s="13">
        <f>Ventas[[#This Row],[Cantidad]]*Ventas[[#This Row],[Precio Unitario]]</f>
        <v>2520</v>
      </c>
    </row>
    <row r="29" spans="2:15" x14ac:dyDescent="0.3">
      <c r="B29" s="10">
        <v>46049</v>
      </c>
      <c r="C29" s="11" t="s">
        <v>26</v>
      </c>
      <c r="D29" s="11" t="s">
        <v>18</v>
      </c>
      <c r="E29" s="11" t="s">
        <v>19</v>
      </c>
      <c r="F29" s="21">
        <v>2</v>
      </c>
      <c r="G29" s="12">
        <v>1250</v>
      </c>
      <c r="H29" s="13">
        <f>Ventas[[#This Row],[Cantidad]]*Ventas[[#This Row],[Precio Unitario]]</f>
        <v>2500</v>
      </c>
    </row>
    <row r="30" spans="2:15" x14ac:dyDescent="0.3">
      <c r="B30" s="10">
        <v>46117</v>
      </c>
      <c r="C30" s="11" t="s">
        <v>30</v>
      </c>
      <c r="D30" s="11" t="s">
        <v>18</v>
      </c>
      <c r="E30" s="11" t="s">
        <v>10</v>
      </c>
      <c r="F30" s="21">
        <v>8</v>
      </c>
      <c r="G30" s="12">
        <v>310</v>
      </c>
      <c r="H30" s="13">
        <f>Ventas[[#This Row],[Cantidad]]*Ventas[[#This Row],[Precio Unitario]]</f>
        <v>2480</v>
      </c>
    </row>
    <row r="31" spans="2:15" x14ac:dyDescent="0.3">
      <c r="B31" s="10">
        <v>46087</v>
      </c>
      <c r="C31" s="11" t="s">
        <v>32</v>
      </c>
      <c r="D31" s="11" t="s">
        <v>18</v>
      </c>
      <c r="E31" s="11" t="s">
        <v>25</v>
      </c>
      <c r="F31" s="21">
        <v>9</v>
      </c>
      <c r="G31" s="12">
        <v>275</v>
      </c>
      <c r="H31" s="13">
        <f>Ventas[[#This Row],[Cantidad]]*Ventas[[#This Row],[Precio Unitario]]</f>
        <v>2475</v>
      </c>
    </row>
    <row r="32" spans="2:15" x14ac:dyDescent="0.3">
      <c r="B32" s="10">
        <v>46092</v>
      </c>
      <c r="C32" s="11" t="s">
        <v>12</v>
      </c>
      <c r="D32" s="11" t="s">
        <v>13</v>
      </c>
      <c r="E32" s="11" t="s">
        <v>21</v>
      </c>
      <c r="F32" s="21">
        <v>3</v>
      </c>
      <c r="G32" s="12">
        <v>820</v>
      </c>
      <c r="H32" s="13">
        <f>Ventas[[#This Row],[Cantidad]]*Ventas[[#This Row],[Precio Unitario]]</f>
        <v>2460</v>
      </c>
    </row>
    <row r="33" spans="2:8" x14ac:dyDescent="0.3">
      <c r="B33" s="10">
        <v>46115</v>
      </c>
      <c r="C33" s="11" t="s">
        <v>28</v>
      </c>
      <c r="D33" s="11" t="s">
        <v>18</v>
      </c>
      <c r="E33" s="11" t="s">
        <v>7</v>
      </c>
      <c r="F33" s="21">
        <v>11</v>
      </c>
      <c r="G33" s="12">
        <v>215</v>
      </c>
      <c r="H33" s="13">
        <f>Ventas[[#This Row],[Cantidad]]*Ventas[[#This Row],[Precio Unitario]]</f>
        <v>2365</v>
      </c>
    </row>
    <row r="34" spans="2:8" x14ac:dyDescent="0.3">
      <c r="B34" s="10">
        <v>46055</v>
      </c>
      <c r="C34" s="11" t="s">
        <v>32</v>
      </c>
      <c r="D34" s="11" t="s">
        <v>18</v>
      </c>
      <c r="E34" s="11" t="s">
        <v>25</v>
      </c>
      <c r="F34" s="21">
        <v>8</v>
      </c>
      <c r="G34" s="12">
        <v>270</v>
      </c>
      <c r="H34" s="13">
        <f>Ventas[[#This Row],[Cantidad]]*Ventas[[#This Row],[Precio Unitario]]</f>
        <v>2160</v>
      </c>
    </row>
    <row r="35" spans="2:8" x14ac:dyDescent="0.3">
      <c r="B35" s="10">
        <v>46079</v>
      </c>
      <c r="C35" s="11" t="s">
        <v>14</v>
      </c>
      <c r="D35" s="11" t="s">
        <v>13</v>
      </c>
      <c r="E35" s="11" t="s">
        <v>25</v>
      </c>
      <c r="F35" s="21">
        <v>6</v>
      </c>
      <c r="G35" s="12">
        <v>355</v>
      </c>
      <c r="H35" s="13">
        <f>Ventas[[#This Row],[Cantidad]]*Ventas[[#This Row],[Precio Unitario]]</f>
        <v>2130</v>
      </c>
    </row>
    <row r="36" spans="2:8" x14ac:dyDescent="0.3">
      <c r="B36" s="10">
        <v>46101</v>
      </c>
      <c r="C36" s="11" t="s">
        <v>30</v>
      </c>
      <c r="D36" s="11" t="s">
        <v>18</v>
      </c>
      <c r="E36" s="11" t="s">
        <v>10</v>
      </c>
      <c r="F36" s="21">
        <v>7</v>
      </c>
      <c r="G36" s="12">
        <v>300</v>
      </c>
      <c r="H36" s="13">
        <f>Ventas[[#This Row],[Cantidad]]*Ventas[[#This Row],[Precio Unitario]]</f>
        <v>2100</v>
      </c>
    </row>
    <row r="37" spans="2:8" x14ac:dyDescent="0.3">
      <c r="B37" s="10">
        <v>46051</v>
      </c>
      <c r="C37" s="11" t="s">
        <v>28</v>
      </c>
      <c r="D37" s="11" t="s">
        <v>18</v>
      </c>
      <c r="E37" s="11" t="s">
        <v>7</v>
      </c>
      <c r="F37" s="21">
        <v>10</v>
      </c>
      <c r="G37" s="12">
        <v>200</v>
      </c>
      <c r="H37" s="13">
        <f>Ventas[[#This Row],[Cantidad]]*Ventas[[#This Row],[Precio Unitario]]</f>
        <v>2000</v>
      </c>
    </row>
    <row r="38" spans="2:8" x14ac:dyDescent="0.3">
      <c r="B38" s="10">
        <v>46096</v>
      </c>
      <c r="C38" s="11" t="s">
        <v>15</v>
      </c>
      <c r="D38" s="11" t="s">
        <v>13</v>
      </c>
      <c r="E38" s="11" t="s">
        <v>5</v>
      </c>
      <c r="F38" s="21">
        <v>2</v>
      </c>
      <c r="G38" s="12">
        <v>1000</v>
      </c>
      <c r="H38" s="13">
        <f>Ventas[[#This Row],[Cantidad]]*Ventas[[#This Row],[Precio Unitario]]</f>
        <v>2000</v>
      </c>
    </row>
    <row r="39" spans="2:8" x14ac:dyDescent="0.3">
      <c r="B39" s="10">
        <v>46064</v>
      </c>
      <c r="C39" s="11" t="s">
        <v>15</v>
      </c>
      <c r="D39" s="11" t="s">
        <v>13</v>
      </c>
      <c r="E39" s="11" t="s">
        <v>5</v>
      </c>
      <c r="F39" s="21">
        <v>2</v>
      </c>
      <c r="G39" s="12">
        <v>960</v>
      </c>
      <c r="H39" s="13">
        <f>Ventas[[#This Row],[Cantidad]]*Ventas[[#This Row],[Precio Unitario]]</f>
        <v>1920</v>
      </c>
    </row>
    <row r="40" spans="2:8" x14ac:dyDescent="0.3">
      <c r="B40" s="14">
        <v>46032</v>
      </c>
      <c r="C40" s="14" t="s">
        <v>15</v>
      </c>
      <c r="D40" s="15" t="s">
        <v>13</v>
      </c>
      <c r="E40" s="15" t="s">
        <v>5</v>
      </c>
      <c r="F40" s="22">
        <v>2</v>
      </c>
      <c r="G40" s="17">
        <v>950</v>
      </c>
      <c r="H40" s="18">
        <f>Ventas[[#This Row],[Cantidad]]*Ventas[[#This Row],[Precio Unitario]]</f>
        <v>1900</v>
      </c>
    </row>
    <row r="41" spans="2:8" x14ac:dyDescent="0.3">
      <c r="B41" s="10">
        <v>46091</v>
      </c>
      <c r="C41" s="11" t="s">
        <v>9</v>
      </c>
      <c r="D41" s="11" t="s">
        <v>18</v>
      </c>
      <c r="E41" s="11" t="s">
        <v>7</v>
      </c>
      <c r="F41" s="21">
        <v>2</v>
      </c>
      <c r="G41" s="12">
        <v>930</v>
      </c>
      <c r="H41" s="13">
        <f>Ventas[[#This Row],[Cantidad]]*Ventas[[#This Row],[Precio Unitario]]</f>
        <v>1860</v>
      </c>
    </row>
    <row r="42" spans="2:8" x14ac:dyDescent="0.3">
      <c r="B42" s="10">
        <v>46111</v>
      </c>
      <c r="C42" s="11" t="s">
        <v>14</v>
      </c>
      <c r="D42" s="11" t="s">
        <v>13</v>
      </c>
      <c r="E42" s="11" t="s">
        <v>25</v>
      </c>
      <c r="F42" s="21">
        <v>5</v>
      </c>
      <c r="G42" s="12">
        <v>370</v>
      </c>
      <c r="H42" s="13">
        <f>Ventas[[#This Row],[Cantidad]]*Ventas[[#This Row],[Precio Unitario]]</f>
        <v>1850</v>
      </c>
    </row>
    <row r="43" spans="2:8" x14ac:dyDescent="0.3">
      <c r="B43" s="10">
        <v>46039</v>
      </c>
      <c r="C43" s="11" t="s">
        <v>32</v>
      </c>
      <c r="D43" s="11" t="s">
        <v>18</v>
      </c>
      <c r="E43" s="11" t="s">
        <v>25</v>
      </c>
      <c r="F43" s="21">
        <v>7</v>
      </c>
      <c r="G43" s="12">
        <v>260</v>
      </c>
      <c r="H43" s="13">
        <f>Ventas[[#This Row],[Cantidad]]*Ventas[[#This Row],[Precio Unitario]]</f>
        <v>1820</v>
      </c>
    </row>
    <row r="44" spans="2:8" x14ac:dyDescent="0.3">
      <c r="B44" s="10">
        <v>46047</v>
      </c>
      <c r="C44" s="11" t="s">
        <v>14</v>
      </c>
      <c r="D44" s="11" t="s">
        <v>13</v>
      </c>
      <c r="E44" s="11" t="s">
        <v>25</v>
      </c>
      <c r="F44" s="21">
        <v>5</v>
      </c>
      <c r="G44" s="12">
        <v>360</v>
      </c>
      <c r="H44" s="13">
        <f>Ventas[[#This Row],[Cantidad]]*Ventas[[#This Row],[Precio Unitario]]</f>
        <v>1800</v>
      </c>
    </row>
    <row r="45" spans="2:8" x14ac:dyDescent="0.3">
      <c r="B45" s="10">
        <v>46116</v>
      </c>
      <c r="C45" s="11" t="s">
        <v>29</v>
      </c>
      <c r="D45" s="11" t="s">
        <v>18</v>
      </c>
      <c r="E45" s="11" t="s">
        <v>21</v>
      </c>
      <c r="F45" s="21">
        <v>10</v>
      </c>
      <c r="G45" s="12">
        <v>180</v>
      </c>
      <c r="H45" s="13">
        <f>Ventas[[#This Row],[Cantidad]]*Ventas[[#This Row],[Precio Unitario]]</f>
        <v>1800</v>
      </c>
    </row>
    <row r="46" spans="2:8" x14ac:dyDescent="0.3">
      <c r="B46" s="10">
        <v>46059</v>
      </c>
      <c r="C46" s="11" t="s">
        <v>9</v>
      </c>
      <c r="D46" s="11" t="s">
        <v>18</v>
      </c>
      <c r="E46" s="11" t="s">
        <v>7</v>
      </c>
      <c r="F46" s="21">
        <v>2</v>
      </c>
      <c r="G46" s="12">
        <v>890</v>
      </c>
      <c r="H46" s="13">
        <f>Ventas[[#This Row],[Cantidad]]*Ventas[[#This Row],[Precio Unitario]]</f>
        <v>1780</v>
      </c>
    </row>
    <row r="47" spans="2:8" x14ac:dyDescent="0.3">
      <c r="B47" s="10">
        <v>46053</v>
      </c>
      <c r="C47" s="11" t="s">
        <v>30</v>
      </c>
      <c r="D47" s="11" t="s">
        <v>18</v>
      </c>
      <c r="E47" s="11" t="s">
        <v>10</v>
      </c>
      <c r="F47" s="21">
        <v>6</v>
      </c>
      <c r="G47" s="12">
        <v>290</v>
      </c>
      <c r="H47" s="13">
        <f>Ventas[[#This Row],[Cantidad]]*Ventas[[#This Row],[Precio Unitario]]</f>
        <v>1740</v>
      </c>
    </row>
    <row r="48" spans="2:8" x14ac:dyDescent="0.3">
      <c r="B48" s="10">
        <v>46067</v>
      </c>
      <c r="C48" s="11" t="s">
        <v>28</v>
      </c>
      <c r="D48" s="11" t="s">
        <v>18</v>
      </c>
      <c r="E48" s="11" t="s">
        <v>7</v>
      </c>
      <c r="F48" s="21">
        <v>9</v>
      </c>
      <c r="G48" s="12">
        <v>190</v>
      </c>
      <c r="H48" s="13">
        <f>Ventas[[#This Row],[Cantidad]]*Ventas[[#This Row],[Precio Unitario]]</f>
        <v>1710</v>
      </c>
    </row>
    <row r="49" spans="2:8" x14ac:dyDescent="0.3">
      <c r="B49" s="14">
        <v>46027</v>
      </c>
      <c r="C49" s="14" t="s">
        <v>9</v>
      </c>
      <c r="D49" s="15" t="s">
        <v>18</v>
      </c>
      <c r="E49" s="15" t="s">
        <v>7</v>
      </c>
      <c r="F49" s="22">
        <v>2</v>
      </c>
      <c r="G49" s="17">
        <v>850</v>
      </c>
      <c r="H49" s="18">
        <f>Ventas[[#This Row],[Cantidad]]*Ventas[[#This Row],[Precio Unitario]]</f>
        <v>1700</v>
      </c>
    </row>
    <row r="50" spans="2:8" x14ac:dyDescent="0.3">
      <c r="B50" s="10">
        <v>46108</v>
      </c>
      <c r="C50" s="11" t="s">
        <v>12</v>
      </c>
      <c r="D50" s="11" t="s">
        <v>13</v>
      </c>
      <c r="E50" s="11" t="s">
        <v>21</v>
      </c>
      <c r="F50" s="21">
        <v>2</v>
      </c>
      <c r="G50" s="12">
        <v>830</v>
      </c>
      <c r="H50" s="13">
        <f>Ventas[[#This Row],[Cantidad]]*Ventas[[#This Row],[Precio Unitario]]</f>
        <v>1660</v>
      </c>
    </row>
    <row r="51" spans="2:8" x14ac:dyDescent="0.3">
      <c r="B51" s="10">
        <v>46044</v>
      </c>
      <c r="C51" s="11" t="s">
        <v>12</v>
      </c>
      <c r="D51" s="11" t="s">
        <v>13</v>
      </c>
      <c r="E51" s="11" t="s">
        <v>21</v>
      </c>
      <c r="F51" s="21">
        <v>2</v>
      </c>
      <c r="G51" s="12">
        <v>810</v>
      </c>
      <c r="H51" s="13">
        <f>Ventas[[#This Row],[Cantidad]]*Ventas[[#This Row],[Precio Unitario]]</f>
        <v>1620</v>
      </c>
    </row>
    <row r="52" spans="2:8" x14ac:dyDescent="0.3">
      <c r="B52" s="10">
        <v>46076</v>
      </c>
      <c r="C52" s="11" t="s">
        <v>12</v>
      </c>
      <c r="D52" s="11" t="s">
        <v>13</v>
      </c>
      <c r="E52" s="11" t="s">
        <v>21</v>
      </c>
      <c r="F52" s="21">
        <v>2</v>
      </c>
      <c r="G52" s="12">
        <v>800</v>
      </c>
      <c r="H52" s="13">
        <f>Ventas[[#This Row],[Cantidad]]*Ventas[[#This Row],[Precio Unitario]]</f>
        <v>1600</v>
      </c>
    </row>
    <row r="53" spans="2:8" x14ac:dyDescent="0.3">
      <c r="B53" s="10">
        <v>46100</v>
      </c>
      <c r="C53" s="11" t="s">
        <v>29</v>
      </c>
      <c r="D53" s="11" t="s">
        <v>18</v>
      </c>
      <c r="E53" s="11" t="s">
        <v>21</v>
      </c>
      <c r="F53" s="21">
        <v>9</v>
      </c>
      <c r="G53" s="12">
        <v>175</v>
      </c>
      <c r="H53" s="13">
        <f>Ventas[[#This Row],[Cantidad]]*Ventas[[#This Row],[Precio Unitario]]</f>
        <v>1575</v>
      </c>
    </row>
    <row r="54" spans="2:8" x14ac:dyDescent="0.3">
      <c r="B54" s="10">
        <v>46071</v>
      </c>
      <c r="C54" s="11" t="s">
        <v>32</v>
      </c>
      <c r="D54" s="11" t="s">
        <v>18</v>
      </c>
      <c r="E54" s="11" t="s">
        <v>25</v>
      </c>
      <c r="F54" s="21">
        <v>6</v>
      </c>
      <c r="G54" s="12">
        <v>255</v>
      </c>
      <c r="H54" s="13">
        <f>Ventas[[#This Row],[Cantidad]]*Ventas[[#This Row],[Precio Unitario]]</f>
        <v>1530</v>
      </c>
    </row>
    <row r="55" spans="2:8" x14ac:dyDescent="0.3">
      <c r="B55" s="10">
        <v>46085</v>
      </c>
      <c r="C55" s="11" t="s">
        <v>30</v>
      </c>
      <c r="D55" s="11" t="s">
        <v>18</v>
      </c>
      <c r="E55" s="11" t="s">
        <v>10</v>
      </c>
      <c r="F55" s="21">
        <v>5</v>
      </c>
      <c r="G55" s="12">
        <v>295</v>
      </c>
      <c r="H55" s="13">
        <f>Ventas[[#This Row],[Cantidad]]*Ventas[[#This Row],[Precio Unitario]]</f>
        <v>1475</v>
      </c>
    </row>
    <row r="56" spans="2:8" x14ac:dyDescent="0.3">
      <c r="B56" s="10">
        <v>46095</v>
      </c>
      <c r="C56" s="11" t="s">
        <v>14</v>
      </c>
      <c r="D56" s="11" t="s">
        <v>13</v>
      </c>
      <c r="E56" s="11" t="s">
        <v>25</v>
      </c>
      <c r="F56" s="21">
        <v>4</v>
      </c>
      <c r="G56" s="12">
        <v>365</v>
      </c>
      <c r="H56" s="13">
        <f>Ventas[[#This Row],[Cantidad]]*Ventas[[#This Row],[Precio Unitario]]</f>
        <v>1460</v>
      </c>
    </row>
    <row r="57" spans="2:8" x14ac:dyDescent="0.3">
      <c r="B57" s="14">
        <v>46035</v>
      </c>
      <c r="C57" s="14" t="s">
        <v>28</v>
      </c>
      <c r="D57" s="15" t="s">
        <v>18</v>
      </c>
      <c r="E57" s="15" t="s">
        <v>7</v>
      </c>
      <c r="F57" s="22">
        <v>8</v>
      </c>
      <c r="G57" s="17">
        <v>180</v>
      </c>
      <c r="H57" s="18">
        <f>Ventas[[#This Row],[Cantidad]]*Ventas[[#This Row],[Precio Unitario]]</f>
        <v>1440</v>
      </c>
    </row>
    <row r="58" spans="2:8" x14ac:dyDescent="0.3">
      <c r="B58" s="10">
        <v>46099</v>
      </c>
      <c r="C58" s="11" t="s">
        <v>28</v>
      </c>
      <c r="D58" s="11" t="s">
        <v>18</v>
      </c>
      <c r="E58" s="11" t="s">
        <v>7</v>
      </c>
      <c r="F58" s="21">
        <v>7</v>
      </c>
      <c r="G58" s="12">
        <v>205</v>
      </c>
      <c r="H58" s="13">
        <f>Ventas[[#This Row],[Cantidad]]*Ventas[[#This Row],[Precio Unitario]]</f>
        <v>1435</v>
      </c>
    </row>
    <row r="59" spans="2:8" x14ac:dyDescent="0.3">
      <c r="B59" s="14">
        <v>46031</v>
      </c>
      <c r="C59" s="14" t="s">
        <v>14</v>
      </c>
      <c r="D59" s="15" t="s">
        <v>13</v>
      </c>
      <c r="E59" s="15" t="s">
        <v>25</v>
      </c>
      <c r="F59" s="22">
        <v>4</v>
      </c>
      <c r="G59" s="17">
        <v>350</v>
      </c>
      <c r="H59" s="18">
        <f>Ventas[[#This Row],[Cantidad]]*Ventas[[#This Row],[Precio Unitario]]</f>
        <v>1400</v>
      </c>
    </row>
    <row r="60" spans="2:8" x14ac:dyDescent="0.3">
      <c r="B60" s="14">
        <v>46037</v>
      </c>
      <c r="C60" s="14" t="s">
        <v>30</v>
      </c>
      <c r="D60" s="15" t="s">
        <v>18</v>
      </c>
      <c r="E60" s="15" t="s">
        <v>10</v>
      </c>
      <c r="F60" s="22">
        <v>5</v>
      </c>
      <c r="G60" s="17">
        <v>280</v>
      </c>
      <c r="H60" s="18">
        <f>Ventas[[#This Row],[Cantidad]]*Ventas[[#This Row],[Precio Unitario]]</f>
        <v>1400</v>
      </c>
    </row>
    <row r="61" spans="2:8" x14ac:dyDescent="0.3">
      <c r="B61" s="10">
        <v>46084</v>
      </c>
      <c r="C61" s="11" t="s">
        <v>29</v>
      </c>
      <c r="D61" s="11" t="s">
        <v>18</v>
      </c>
      <c r="E61" s="11" t="s">
        <v>21</v>
      </c>
      <c r="F61" s="21">
        <v>8</v>
      </c>
      <c r="G61" s="12">
        <v>170</v>
      </c>
      <c r="H61" s="13">
        <f>Ventas[[#This Row],[Cantidad]]*Ventas[[#This Row],[Precio Unitario]]</f>
        <v>1360</v>
      </c>
    </row>
    <row r="62" spans="2:8" x14ac:dyDescent="0.3">
      <c r="B62" s="10">
        <v>46118</v>
      </c>
      <c r="C62" s="11" t="s">
        <v>31</v>
      </c>
      <c r="D62" s="11" t="s">
        <v>18</v>
      </c>
      <c r="E62" s="11" t="s">
        <v>24</v>
      </c>
      <c r="F62" s="21">
        <v>25</v>
      </c>
      <c r="G62" s="12">
        <v>45</v>
      </c>
      <c r="H62" s="13">
        <f>Ventas[[#This Row],[Cantidad]]*Ventas[[#This Row],[Precio Unitario]]</f>
        <v>1125</v>
      </c>
    </row>
    <row r="63" spans="2:8" x14ac:dyDescent="0.3">
      <c r="B63" s="10">
        <v>46052</v>
      </c>
      <c r="C63" s="11" t="s">
        <v>29</v>
      </c>
      <c r="D63" s="11" t="s">
        <v>18</v>
      </c>
      <c r="E63" s="11" t="s">
        <v>21</v>
      </c>
      <c r="F63" s="21">
        <v>7</v>
      </c>
      <c r="G63" s="12">
        <v>160</v>
      </c>
      <c r="H63" s="13">
        <f>Ventas[[#This Row],[Cantidad]]*Ventas[[#This Row],[Precio Unitario]]</f>
        <v>1120</v>
      </c>
    </row>
    <row r="64" spans="2:8" x14ac:dyDescent="0.3">
      <c r="B64" s="10">
        <v>46122</v>
      </c>
      <c r="C64" s="11" t="s">
        <v>11</v>
      </c>
      <c r="D64" s="11" t="s">
        <v>18</v>
      </c>
      <c r="E64" s="11" t="s">
        <v>20</v>
      </c>
      <c r="F64" s="21">
        <v>8</v>
      </c>
      <c r="G64" s="12">
        <v>140</v>
      </c>
      <c r="H64" s="13">
        <f>Ventas[[#This Row],[Cantidad]]*Ventas[[#This Row],[Precio Unitario]]</f>
        <v>1120</v>
      </c>
    </row>
    <row r="65" spans="2:8" x14ac:dyDescent="0.3">
      <c r="B65" s="10">
        <v>46069</v>
      </c>
      <c r="C65" s="11" t="s">
        <v>30</v>
      </c>
      <c r="D65" s="11" t="s">
        <v>18</v>
      </c>
      <c r="E65" s="11" t="s">
        <v>10</v>
      </c>
      <c r="F65" s="21">
        <v>4</v>
      </c>
      <c r="G65" s="12">
        <v>275</v>
      </c>
      <c r="H65" s="13">
        <f>Ventas[[#This Row],[Cantidad]]*Ventas[[#This Row],[Precio Unitario]]</f>
        <v>1100</v>
      </c>
    </row>
    <row r="66" spans="2:8" x14ac:dyDescent="0.3">
      <c r="B66" s="10">
        <v>46063</v>
      </c>
      <c r="C66" s="11" t="s">
        <v>14</v>
      </c>
      <c r="D66" s="11" t="s">
        <v>13</v>
      </c>
      <c r="E66" s="11" t="s">
        <v>25</v>
      </c>
      <c r="F66" s="21">
        <v>3</v>
      </c>
      <c r="G66" s="12">
        <v>340</v>
      </c>
      <c r="H66" s="13">
        <f>Ventas[[#This Row],[Cantidad]]*Ventas[[#This Row],[Precio Unitario]]</f>
        <v>1020</v>
      </c>
    </row>
    <row r="67" spans="2:8" x14ac:dyDescent="0.3">
      <c r="B67" s="10">
        <v>46080</v>
      </c>
      <c r="C67" s="11" t="s">
        <v>15</v>
      </c>
      <c r="D67" s="11" t="s">
        <v>13</v>
      </c>
      <c r="E67" s="11" t="s">
        <v>5</v>
      </c>
      <c r="F67" s="21">
        <v>1</v>
      </c>
      <c r="G67" s="12">
        <v>990</v>
      </c>
      <c r="H67" s="13">
        <f>Ventas[[#This Row],[Cantidad]]*Ventas[[#This Row],[Precio Unitario]]</f>
        <v>990</v>
      </c>
    </row>
    <row r="68" spans="2:8" x14ac:dyDescent="0.3">
      <c r="B68" s="10">
        <v>46102</v>
      </c>
      <c r="C68" s="11" t="s">
        <v>31</v>
      </c>
      <c r="D68" s="11" t="s">
        <v>18</v>
      </c>
      <c r="E68" s="11" t="s">
        <v>24</v>
      </c>
      <c r="F68" s="21">
        <v>22</v>
      </c>
      <c r="G68" s="12">
        <v>44</v>
      </c>
      <c r="H68" s="13">
        <f>Ventas[[#This Row],[Cantidad]]*Ventas[[#This Row],[Precio Unitario]]</f>
        <v>968</v>
      </c>
    </row>
    <row r="69" spans="2:8" x14ac:dyDescent="0.3">
      <c r="B69" s="10">
        <v>46106</v>
      </c>
      <c r="C69" s="11" t="s">
        <v>11</v>
      </c>
      <c r="D69" s="11" t="s">
        <v>18</v>
      </c>
      <c r="E69" s="11" t="s">
        <v>20</v>
      </c>
      <c r="F69" s="21">
        <v>7</v>
      </c>
      <c r="G69" s="12">
        <v>135</v>
      </c>
      <c r="H69" s="13">
        <f>Ventas[[#This Row],[Cantidad]]*Ventas[[#This Row],[Precio Unitario]]</f>
        <v>945</v>
      </c>
    </row>
    <row r="70" spans="2:8" x14ac:dyDescent="0.3">
      <c r="B70" s="14">
        <v>46036</v>
      </c>
      <c r="C70" s="14" t="s">
        <v>29</v>
      </c>
      <c r="D70" s="15" t="s">
        <v>18</v>
      </c>
      <c r="E70" s="15" t="s">
        <v>21</v>
      </c>
      <c r="F70" s="22">
        <v>6</v>
      </c>
      <c r="G70" s="17">
        <v>150</v>
      </c>
      <c r="H70" s="18">
        <f>Ventas[[#This Row],[Cantidad]]*Ventas[[#This Row],[Precio Unitario]]</f>
        <v>900</v>
      </c>
    </row>
    <row r="71" spans="2:8" x14ac:dyDescent="0.3">
      <c r="B71" s="10">
        <v>46086</v>
      </c>
      <c r="C71" s="11" t="s">
        <v>31</v>
      </c>
      <c r="D71" s="11" t="s">
        <v>18</v>
      </c>
      <c r="E71" s="11" t="s">
        <v>24</v>
      </c>
      <c r="F71" s="21">
        <v>20</v>
      </c>
      <c r="G71" s="12">
        <v>43</v>
      </c>
      <c r="H71" s="13">
        <f>Ventas[[#This Row],[Cantidad]]*Ventas[[#This Row],[Precio Unitario]]</f>
        <v>860</v>
      </c>
    </row>
    <row r="72" spans="2:8" x14ac:dyDescent="0.3">
      <c r="B72" s="10">
        <v>46060</v>
      </c>
      <c r="C72" s="11" t="s">
        <v>12</v>
      </c>
      <c r="D72" s="11" t="s">
        <v>13</v>
      </c>
      <c r="E72" s="11" t="s">
        <v>21</v>
      </c>
      <c r="F72" s="21">
        <v>1</v>
      </c>
      <c r="G72" s="12">
        <v>790</v>
      </c>
      <c r="H72" s="13">
        <f>Ventas[[#This Row],[Cantidad]]*Ventas[[#This Row],[Precio Unitario]]</f>
        <v>790</v>
      </c>
    </row>
    <row r="73" spans="2:8" x14ac:dyDescent="0.3">
      <c r="B73" s="14">
        <v>46028</v>
      </c>
      <c r="C73" s="14" t="s">
        <v>12</v>
      </c>
      <c r="D73" s="15" t="s">
        <v>13</v>
      </c>
      <c r="E73" s="15" t="s">
        <v>21</v>
      </c>
      <c r="F73" s="22">
        <v>1</v>
      </c>
      <c r="G73" s="17">
        <v>780</v>
      </c>
      <c r="H73" s="18">
        <f>Ventas[[#This Row],[Cantidad]]*Ventas[[#This Row],[Precio Unitario]]</f>
        <v>780</v>
      </c>
    </row>
    <row r="74" spans="2:8" x14ac:dyDescent="0.3">
      <c r="B74" s="10">
        <v>46074</v>
      </c>
      <c r="C74" s="11" t="s">
        <v>11</v>
      </c>
      <c r="D74" s="11" t="s">
        <v>18</v>
      </c>
      <c r="E74" s="11" t="s">
        <v>20</v>
      </c>
      <c r="F74" s="21">
        <v>6</v>
      </c>
      <c r="G74" s="12">
        <v>128</v>
      </c>
      <c r="H74" s="13">
        <f>Ventas[[#This Row],[Cantidad]]*Ventas[[#This Row],[Precio Unitario]]</f>
        <v>768</v>
      </c>
    </row>
    <row r="75" spans="2:8" x14ac:dyDescent="0.3">
      <c r="B75" s="10">
        <v>46068</v>
      </c>
      <c r="C75" s="11" t="s">
        <v>29</v>
      </c>
      <c r="D75" s="11" t="s">
        <v>18</v>
      </c>
      <c r="E75" s="11" t="s">
        <v>21</v>
      </c>
      <c r="F75" s="21">
        <v>5</v>
      </c>
      <c r="G75" s="12">
        <v>145</v>
      </c>
      <c r="H75" s="13">
        <f>Ventas[[#This Row],[Cantidad]]*Ventas[[#This Row],[Precio Unitario]]</f>
        <v>725</v>
      </c>
    </row>
    <row r="76" spans="2:8" x14ac:dyDescent="0.3">
      <c r="B76" s="10">
        <v>46070</v>
      </c>
      <c r="C76" s="11" t="s">
        <v>31</v>
      </c>
      <c r="D76" s="11" t="s">
        <v>18</v>
      </c>
      <c r="E76" s="11" t="s">
        <v>24</v>
      </c>
      <c r="F76" s="21">
        <v>18</v>
      </c>
      <c r="G76" s="12">
        <v>38</v>
      </c>
      <c r="H76" s="13">
        <f>Ventas[[#This Row],[Cantidad]]*Ventas[[#This Row],[Precio Unitario]]</f>
        <v>684</v>
      </c>
    </row>
    <row r="77" spans="2:8" x14ac:dyDescent="0.3">
      <c r="B77" s="10">
        <v>46054</v>
      </c>
      <c r="C77" s="11" t="s">
        <v>31</v>
      </c>
      <c r="D77" s="11" t="s">
        <v>18</v>
      </c>
      <c r="E77" s="11" t="s">
        <v>24</v>
      </c>
      <c r="F77" s="21">
        <v>15</v>
      </c>
      <c r="G77" s="12">
        <v>42</v>
      </c>
      <c r="H77" s="13">
        <f>Ventas[[#This Row],[Cantidad]]*Ventas[[#This Row],[Precio Unitario]]</f>
        <v>630</v>
      </c>
    </row>
    <row r="78" spans="2:8" x14ac:dyDescent="0.3">
      <c r="B78" s="10">
        <v>46058</v>
      </c>
      <c r="C78" s="11" t="s">
        <v>11</v>
      </c>
      <c r="D78" s="11" t="s">
        <v>18</v>
      </c>
      <c r="E78" s="11" t="s">
        <v>20</v>
      </c>
      <c r="F78" s="21">
        <v>5</v>
      </c>
      <c r="G78" s="12">
        <v>125</v>
      </c>
      <c r="H78" s="13">
        <f>Ventas[[#This Row],[Cantidad]]*Ventas[[#This Row],[Precio Unitario]]</f>
        <v>625</v>
      </c>
    </row>
    <row r="79" spans="2:8" x14ac:dyDescent="0.3">
      <c r="B79" s="10">
        <v>46121</v>
      </c>
      <c r="C79" s="11" t="s">
        <v>8</v>
      </c>
      <c r="D79" s="11" t="s">
        <v>18</v>
      </c>
      <c r="E79" s="11" t="s">
        <v>19</v>
      </c>
      <c r="F79" s="21">
        <v>10</v>
      </c>
      <c r="G79" s="12">
        <v>55</v>
      </c>
      <c r="H79" s="13">
        <f>Ventas[[#This Row],[Cantidad]]*Ventas[[#This Row],[Precio Unitario]]</f>
        <v>550</v>
      </c>
    </row>
    <row r="80" spans="2:8" x14ac:dyDescent="0.3">
      <c r="B80" s="10">
        <v>46090</v>
      </c>
      <c r="C80" s="11" t="s">
        <v>11</v>
      </c>
      <c r="D80" s="11" t="s">
        <v>18</v>
      </c>
      <c r="E80" s="11" t="s">
        <v>20</v>
      </c>
      <c r="F80" s="21">
        <v>4</v>
      </c>
      <c r="G80" s="12">
        <v>132</v>
      </c>
      <c r="H80" s="13">
        <f>Ventas[[#This Row],[Cantidad]]*Ventas[[#This Row],[Precio Unitario]]</f>
        <v>528</v>
      </c>
    </row>
    <row r="81" spans="2:8" x14ac:dyDescent="0.3">
      <c r="B81" s="10">
        <v>46042</v>
      </c>
      <c r="C81" s="11" t="s">
        <v>11</v>
      </c>
      <c r="D81" s="11" t="s">
        <v>18</v>
      </c>
      <c r="E81" s="11" t="s">
        <v>20</v>
      </c>
      <c r="F81" s="21">
        <v>4</v>
      </c>
      <c r="G81" s="12">
        <v>130</v>
      </c>
      <c r="H81" s="13">
        <f>Ventas[[#This Row],[Cantidad]]*Ventas[[#This Row],[Precio Unitario]]</f>
        <v>520</v>
      </c>
    </row>
    <row r="82" spans="2:8" x14ac:dyDescent="0.3">
      <c r="B82" s="10">
        <v>46041</v>
      </c>
      <c r="C82" s="11" t="s">
        <v>8</v>
      </c>
      <c r="D82" s="11" t="s">
        <v>18</v>
      </c>
      <c r="E82" s="11" t="s">
        <v>19</v>
      </c>
      <c r="F82" s="21">
        <v>10</v>
      </c>
      <c r="G82" s="12">
        <v>50</v>
      </c>
      <c r="H82" s="13">
        <f>Ventas[[#This Row],[Cantidad]]*Ventas[[#This Row],[Precio Unitario]]</f>
        <v>500</v>
      </c>
    </row>
    <row r="83" spans="2:8" x14ac:dyDescent="0.3">
      <c r="B83" s="10">
        <v>46109</v>
      </c>
      <c r="C83" s="11" t="s">
        <v>22</v>
      </c>
      <c r="D83" s="11" t="s">
        <v>13</v>
      </c>
      <c r="E83" s="11" t="s">
        <v>10</v>
      </c>
      <c r="F83" s="21">
        <v>50</v>
      </c>
      <c r="G83" s="12">
        <v>10</v>
      </c>
      <c r="H83" s="13">
        <f>Ventas[[#This Row],[Cantidad]]*Ventas[[#This Row],[Precio Unitario]]</f>
        <v>500</v>
      </c>
    </row>
    <row r="84" spans="2:8" x14ac:dyDescent="0.3">
      <c r="B84" s="14">
        <v>46038</v>
      </c>
      <c r="C84" s="14" t="s">
        <v>31</v>
      </c>
      <c r="D84" s="15" t="s">
        <v>18</v>
      </c>
      <c r="E84" s="15" t="s">
        <v>24</v>
      </c>
      <c r="F84" s="22">
        <v>12</v>
      </c>
      <c r="G84" s="17">
        <v>40</v>
      </c>
      <c r="H84" s="18">
        <f>Ventas[[#This Row],[Cantidad]]*Ventas[[#This Row],[Precio Unitario]]</f>
        <v>480</v>
      </c>
    </row>
    <row r="85" spans="2:8" x14ac:dyDescent="0.3">
      <c r="B85" s="10">
        <v>46105</v>
      </c>
      <c r="C85" s="11" t="s">
        <v>8</v>
      </c>
      <c r="D85" s="11" t="s">
        <v>18</v>
      </c>
      <c r="E85" s="11" t="s">
        <v>19</v>
      </c>
      <c r="F85" s="21">
        <v>9</v>
      </c>
      <c r="G85" s="12">
        <v>52</v>
      </c>
      <c r="H85" s="13">
        <f>Ventas[[#This Row],[Cantidad]]*Ventas[[#This Row],[Precio Unitario]]</f>
        <v>468</v>
      </c>
    </row>
    <row r="86" spans="2:8" x14ac:dyDescent="0.3">
      <c r="B86" s="10">
        <v>46077</v>
      </c>
      <c r="C86" s="11" t="s">
        <v>22</v>
      </c>
      <c r="D86" s="11" t="s">
        <v>13</v>
      </c>
      <c r="E86" s="11" t="s">
        <v>10</v>
      </c>
      <c r="F86" s="21">
        <v>40</v>
      </c>
      <c r="G86" s="12">
        <v>10</v>
      </c>
      <c r="H86" s="13">
        <f>Ventas[[#This Row],[Cantidad]]*Ventas[[#This Row],[Precio Unitario]]</f>
        <v>400</v>
      </c>
    </row>
    <row r="87" spans="2:8" x14ac:dyDescent="0.3">
      <c r="B87" s="10">
        <v>46073</v>
      </c>
      <c r="C87" s="11" t="s">
        <v>8</v>
      </c>
      <c r="D87" s="11" t="s">
        <v>18</v>
      </c>
      <c r="E87" s="11" t="s">
        <v>19</v>
      </c>
      <c r="F87" s="21">
        <v>8</v>
      </c>
      <c r="G87" s="12">
        <v>47</v>
      </c>
      <c r="H87" s="13">
        <f>Ventas[[#This Row],[Cantidad]]*Ventas[[#This Row],[Precio Unitario]]</f>
        <v>376</v>
      </c>
    </row>
    <row r="88" spans="2:8" x14ac:dyDescent="0.3">
      <c r="B88" s="14">
        <v>46026</v>
      </c>
      <c r="C88" s="14" t="s">
        <v>11</v>
      </c>
      <c r="D88" s="15" t="s">
        <v>18</v>
      </c>
      <c r="E88" s="15" t="s">
        <v>20</v>
      </c>
      <c r="F88" s="22">
        <v>3</v>
      </c>
      <c r="G88" s="17">
        <v>120</v>
      </c>
      <c r="H88" s="18">
        <f>Ventas[[#This Row],[Cantidad]]*Ventas[[#This Row],[Precio Unitario]]</f>
        <v>360</v>
      </c>
    </row>
    <row r="89" spans="2:8" x14ac:dyDescent="0.3">
      <c r="B89" s="10">
        <v>46089</v>
      </c>
      <c r="C89" s="11" t="s">
        <v>8</v>
      </c>
      <c r="D89" s="11" t="s">
        <v>18</v>
      </c>
      <c r="E89" s="11" t="s">
        <v>19</v>
      </c>
      <c r="F89" s="21">
        <v>7</v>
      </c>
      <c r="G89" s="12">
        <v>49</v>
      </c>
      <c r="H89" s="13">
        <f>Ventas[[#This Row],[Cantidad]]*Ventas[[#This Row],[Precio Unitario]]</f>
        <v>343</v>
      </c>
    </row>
    <row r="90" spans="2:8" x14ac:dyDescent="0.3">
      <c r="B90" s="10">
        <v>46093</v>
      </c>
      <c r="C90" s="11" t="s">
        <v>22</v>
      </c>
      <c r="D90" s="11" t="s">
        <v>13</v>
      </c>
      <c r="E90" s="11" t="s">
        <v>10</v>
      </c>
      <c r="F90" s="21">
        <v>35</v>
      </c>
      <c r="G90" s="12">
        <v>9</v>
      </c>
      <c r="H90" s="13">
        <f>Ventas[[#This Row],[Cantidad]]*Ventas[[#This Row],[Precio Unitario]]</f>
        <v>315</v>
      </c>
    </row>
    <row r="91" spans="2:8" x14ac:dyDescent="0.3">
      <c r="B91" s="10">
        <v>46057</v>
      </c>
      <c r="C91" s="11" t="s">
        <v>8</v>
      </c>
      <c r="D91" s="11" t="s">
        <v>18</v>
      </c>
      <c r="E91" s="11" t="s">
        <v>19</v>
      </c>
      <c r="F91" s="21">
        <v>6</v>
      </c>
      <c r="G91" s="12">
        <v>48</v>
      </c>
      <c r="H91" s="13">
        <f>Ventas[[#This Row],[Cantidad]]*Ventas[[#This Row],[Precio Unitario]]</f>
        <v>288</v>
      </c>
    </row>
    <row r="92" spans="2:8" x14ac:dyDescent="0.3">
      <c r="B92" s="10">
        <v>46045</v>
      </c>
      <c r="C92" s="11" t="s">
        <v>22</v>
      </c>
      <c r="D92" s="11" t="s">
        <v>13</v>
      </c>
      <c r="E92" s="11" t="s">
        <v>10</v>
      </c>
      <c r="F92" s="21">
        <v>30</v>
      </c>
      <c r="G92" s="12">
        <v>9</v>
      </c>
      <c r="H92" s="13">
        <f>Ventas[[#This Row],[Cantidad]]*Ventas[[#This Row],[Precio Unitario]]</f>
        <v>270</v>
      </c>
    </row>
    <row r="93" spans="2:8" x14ac:dyDescent="0.3">
      <c r="B93" s="14">
        <v>46025</v>
      </c>
      <c r="C93" s="14" t="s">
        <v>8</v>
      </c>
      <c r="D93" s="15" t="s">
        <v>18</v>
      </c>
      <c r="E93" s="15" t="s">
        <v>19</v>
      </c>
      <c r="F93" s="22">
        <v>5</v>
      </c>
      <c r="G93" s="17">
        <v>45</v>
      </c>
      <c r="H93" s="18">
        <f>Ventas[[#This Row],[Cantidad]]*Ventas[[#This Row],[Precio Unitario]]</f>
        <v>225</v>
      </c>
    </row>
    <row r="94" spans="2:8" x14ac:dyDescent="0.3">
      <c r="B94" s="10">
        <v>46061</v>
      </c>
      <c r="C94" s="11" t="s">
        <v>22</v>
      </c>
      <c r="D94" s="11" t="s">
        <v>13</v>
      </c>
      <c r="E94" s="11" t="s">
        <v>10</v>
      </c>
      <c r="F94" s="21">
        <v>25</v>
      </c>
      <c r="G94" s="12">
        <v>8</v>
      </c>
      <c r="H94" s="13">
        <f>Ventas[[#This Row],[Cantidad]]*Ventas[[#This Row],[Precio Unitario]]</f>
        <v>200</v>
      </c>
    </row>
    <row r="95" spans="2:8" x14ac:dyDescent="0.3">
      <c r="B95" s="10">
        <v>46110</v>
      </c>
      <c r="C95" s="11" t="s">
        <v>23</v>
      </c>
      <c r="D95" s="11" t="s">
        <v>13</v>
      </c>
      <c r="E95" s="11" t="s">
        <v>24</v>
      </c>
      <c r="F95" s="21">
        <v>100</v>
      </c>
      <c r="G95" s="12">
        <v>2</v>
      </c>
      <c r="H95" s="13">
        <f>Ventas[[#This Row],[Cantidad]]*Ventas[[#This Row],[Precio Unitario]]</f>
        <v>200</v>
      </c>
    </row>
    <row r="96" spans="2:8" x14ac:dyDescent="0.3">
      <c r="B96" s="10">
        <v>46094</v>
      </c>
      <c r="C96" s="11" t="s">
        <v>23</v>
      </c>
      <c r="D96" s="11" t="s">
        <v>13</v>
      </c>
      <c r="E96" s="11" t="s">
        <v>24</v>
      </c>
      <c r="F96" s="21">
        <v>90</v>
      </c>
      <c r="G96" s="12">
        <v>2</v>
      </c>
      <c r="H96" s="13">
        <f>Ventas[[#This Row],[Cantidad]]*Ventas[[#This Row],[Precio Unitario]]</f>
        <v>180</v>
      </c>
    </row>
    <row r="97" spans="2:8" x14ac:dyDescent="0.3">
      <c r="B97" s="14">
        <v>46029</v>
      </c>
      <c r="C97" s="14" t="s">
        <v>22</v>
      </c>
      <c r="D97" s="15" t="s">
        <v>13</v>
      </c>
      <c r="E97" s="15" t="s">
        <v>10</v>
      </c>
      <c r="F97" s="22">
        <v>20</v>
      </c>
      <c r="G97" s="17">
        <v>8</v>
      </c>
      <c r="H97" s="18">
        <f>Ventas[[#This Row],[Cantidad]]*Ventas[[#This Row],[Precio Unitario]]</f>
        <v>160</v>
      </c>
    </row>
    <row r="98" spans="2:8" x14ac:dyDescent="0.3">
      <c r="B98" s="10">
        <v>46078</v>
      </c>
      <c r="C98" s="11" t="s">
        <v>23</v>
      </c>
      <c r="D98" s="11" t="s">
        <v>13</v>
      </c>
      <c r="E98" s="11" t="s">
        <v>24</v>
      </c>
      <c r="F98" s="21">
        <v>80</v>
      </c>
      <c r="G98" s="12">
        <v>2</v>
      </c>
      <c r="H98" s="13">
        <f>Ventas[[#This Row],[Cantidad]]*Ventas[[#This Row],[Precio Unitario]]</f>
        <v>160</v>
      </c>
    </row>
    <row r="99" spans="2:8" x14ac:dyDescent="0.3">
      <c r="B99" s="10">
        <v>46062</v>
      </c>
      <c r="C99" s="11" t="s">
        <v>23</v>
      </c>
      <c r="D99" s="11" t="s">
        <v>13</v>
      </c>
      <c r="E99" s="11" t="s">
        <v>24</v>
      </c>
      <c r="F99" s="21">
        <v>70</v>
      </c>
      <c r="G99" s="12">
        <v>2</v>
      </c>
      <c r="H99" s="13">
        <f>Ventas[[#This Row],[Cantidad]]*Ventas[[#This Row],[Precio Unitario]]</f>
        <v>140</v>
      </c>
    </row>
    <row r="100" spans="2:8" x14ac:dyDescent="0.3">
      <c r="B100" s="10">
        <v>46046</v>
      </c>
      <c r="C100" s="11" t="s">
        <v>23</v>
      </c>
      <c r="D100" s="11" t="s">
        <v>13</v>
      </c>
      <c r="E100" s="11" t="s">
        <v>24</v>
      </c>
      <c r="F100" s="21">
        <v>60</v>
      </c>
      <c r="G100" s="12">
        <v>2</v>
      </c>
      <c r="H100" s="13">
        <f>Ventas[[#This Row],[Cantidad]]*Ventas[[#This Row],[Precio Unitario]]</f>
        <v>120</v>
      </c>
    </row>
    <row r="101" spans="2:8" x14ac:dyDescent="0.3">
      <c r="B101" s="14">
        <v>46030</v>
      </c>
      <c r="C101" s="14" t="s">
        <v>23</v>
      </c>
      <c r="D101" s="15" t="s">
        <v>13</v>
      </c>
      <c r="E101" s="15" t="s">
        <v>24</v>
      </c>
      <c r="F101" s="22">
        <v>50</v>
      </c>
      <c r="G101" s="17">
        <v>2</v>
      </c>
      <c r="H101" s="18">
        <f>Ventas[[#This Row],[Cantidad]]*Ventas[[#This Row],[Precio Unitario]]</f>
        <v>100</v>
      </c>
    </row>
    <row r="102" spans="2:8" x14ac:dyDescent="0.3">
      <c r="B102" t="s">
        <v>4</v>
      </c>
      <c r="F102" s="5">
        <f>SUBTOTAL(109,Ventas[Cantidad])</f>
        <v>1170</v>
      </c>
      <c r="G102" s="5"/>
      <c r="H102" s="6">
        <f>SUBTOTAL(109,Ventas[Venta Total])</f>
        <v>222618</v>
      </c>
    </row>
  </sheetData>
  <mergeCells count="7">
    <mergeCell ref="J17:N18"/>
    <mergeCell ref="J11:N12"/>
    <mergeCell ref="O11:O12"/>
    <mergeCell ref="J3:O3"/>
    <mergeCell ref="J5:N5"/>
    <mergeCell ref="J8:N8"/>
    <mergeCell ref="J14:N14"/>
  </mergeCells>
  <conditionalFormatting sqref="H3:H10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{84D8CC70-2BF7-49D3-8CF9-BB783A6D64D3}</x14:id>
        </ext>
      </extLst>
    </cfRule>
    <cfRule type="cellIs" dxfId="5" priority="7" operator="greaterThanOrEqual">
      <formula>3000</formula>
    </cfRule>
  </conditionalFormatting>
  <conditionalFormatting sqref="F3:F101">
    <cfRule type="cellIs" dxfId="4" priority="6" operator="equal">
      <formula>1</formula>
    </cfRule>
  </conditionalFormatting>
  <conditionalFormatting sqref="G3:G101">
    <cfRule type="colorScale" priority="3">
      <colorScale>
        <cfvo type="min"/>
        <cfvo type="max"/>
        <color theme="7" tint="0.79998168889431442"/>
        <color theme="7" tint="-0.249977111117893"/>
      </colorScale>
    </cfRule>
  </conditionalFormatting>
  <conditionalFormatting sqref="B3:B101">
    <cfRule type="expression" dxfId="3" priority="1">
      <formula>AND(DAY($B3)=4, TRUE)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D8CC70-2BF7-49D3-8CF9-BB783A6D64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 QUISPE HUAMAN</dc:creator>
  <cp:lastModifiedBy>JOAO MARCO QUISPE HUAMAN</cp:lastModifiedBy>
  <dcterms:created xsi:type="dcterms:W3CDTF">2026-06-05T16:54:16Z</dcterms:created>
  <dcterms:modified xsi:type="dcterms:W3CDTF">2026-06-14T22:34:35Z</dcterms:modified>
</cp:coreProperties>
</file>