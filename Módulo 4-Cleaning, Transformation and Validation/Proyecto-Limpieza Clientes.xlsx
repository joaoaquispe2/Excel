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Estudio\Excel\Módulo 4-Limpieza, Transformación y Validación\"/>
    </mc:Choice>
  </mc:AlternateContent>
  <xr:revisionPtr revIDLastSave="0" documentId="13_ncr:1_{1E6DBBC5-1B42-4BF7-AC9F-20F4A405B232}" xr6:coauthVersionLast="47" xr6:coauthVersionMax="47" xr10:uidLastSave="{00000000-0000-0000-0000-000000000000}"/>
  <bookViews>
    <workbookView xWindow="-108" yWindow="-108" windowWidth="23256" windowHeight="12456" xr2:uid="{7F7E1DDE-3781-814A-825E-072C922D74F6}"/>
  </bookViews>
  <sheets>
    <sheet name="Tabla de Venta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2" l="1"/>
  <c r="K4" i="2"/>
  <c r="K5" i="2"/>
  <c r="K7" i="2"/>
  <c r="K8" i="2"/>
  <c r="K9" i="2"/>
  <c r="K10" i="2"/>
  <c r="K11" i="2"/>
  <c r="K12" i="2"/>
  <c r="K13" i="2"/>
  <c r="K14" i="2"/>
  <c r="K15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</calcChain>
</file>

<file path=xl/sharedStrings.xml><?xml version="1.0" encoding="utf-8"?>
<sst xmlns="http://schemas.openxmlformats.org/spreadsheetml/2006/main" count="176" uniqueCount="106">
  <si>
    <t>Nyla Novak</t>
  </si>
  <si>
    <t>Kylee Townsend</t>
  </si>
  <si>
    <t>Nora Rollins</t>
  </si>
  <si>
    <t>Lucia Mckay</t>
  </si>
  <si>
    <t>Mik Naam</t>
  </si>
  <si>
    <t>Margen</t>
  </si>
  <si>
    <t>Beneficio</t>
  </si>
  <si>
    <t>Ingresos</t>
  </si>
  <si>
    <t>Fecha</t>
  </si>
  <si>
    <t>Cliente</t>
  </si>
  <si>
    <t>Contacto</t>
  </si>
  <si>
    <t>Departamento</t>
  </si>
  <si>
    <t>Pago</t>
  </si>
  <si>
    <t>Transferencia</t>
  </si>
  <si>
    <t>Targeta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</si>
  <si>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</si>
  <si>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</si>
  <si>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</si>
  <si>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</si>
  <si>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</si>
  <si>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</si>
  <si>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</si>
  <si>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</si>
  <si>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</si>
  <si>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</si>
  <si>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</si>
  <si>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</si>
  <si>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</si>
  <si>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</si>
  <si>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</si>
  <si>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</si>
  <si>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</si>
  <si>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</si>
  <si>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</si>
  <si>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</si>
  <si>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</si>
  <si>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</si>
  <si>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</si>
  <si>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Paypal</t>
  </si>
  <si>
    <t>Cheque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</si>
  <si>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</si>
  <si>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</si>
  <si>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</si>
  <si>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</si>
  <si>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</si>
  <si>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</si>
  <si>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</si>
  <si>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</si>
  <si>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Estado</t>
  </si>
  <si>
    <t>DELL</t>
  </si>
  <si>
    <t>Código Cliente</t>
  </si>
  <si>
    <t>AMZN</t>
  </si>
  <si>
    <t>TSLA</t>
  </si>
  <si>
    <t>NFLX</t>
  </si>
  <si>
    <t>PG</t>
  </si>
  <si>
    <t>GS</t>
  </si>
  <si>
    <t>JPM</t>
  </si>
  <si>
    <t>MS</t>
  </si>
  <si>
    <t>C</t>
  </si>
  <si>
    <t>BAC</t>
  </si>
  <si>
    <t>WMT</t>
  </si>
  <si>
    <t>TGT</t>
  </si>
  <si>
    <t>COST</t>
  </si>
  <si>
    <t>MCD</t>
  </si>
  <si>
    <t>XOM</t>
  </si>
  <si>
    <t>VZ</t>
  </si>
  <si>
    <t>HD</t>
  </si>
  <si>
    <t>CSCO</t>
  </si>
  <si>
    <t>CVX</t>
  </si>
  <si>
    <t>T</t>
  </si>
  <si>
    <t>INTC</t>
  </si>
  <si>
    <t>GM</t>
  </si>
  <si>
    <t>MSFT</t>
  </si>
  <si>
    <t>CMCSA</t>
  </si>
  <si>
    <t>JNJ</t>
  </si>
  <si>
    <t>FDX</t>
  </si>
  <si>
    <t>GE</t>
  </si>
  <si>
    <t>LMT</t>
  </si>
  <si>
    <t xml:space="preserve">Amazon.Com, Inc.  </t>
  </si>
  <si>
    <t xml:space="preserve">Tesla, Inc.  </t>
  </si>
  <si>
    <t xml:space="preserve">Netflix, Inc.  </t>
  </si>
  <si>
    <t xml:space="preserve">The Procter &amp; Gamble Company  </t>
  </si>
  <si>
    <t xml:space="preserve">The Goldman Sachs Group, Inc.  </t>
  </si>
  <si>
    <t xml:space="preserve">Jpmorgan Chase &amp; Co.  </t>
  </si>
  <si>
    <t xml:space="preserve">Morgan Stanley  </t>
  </si>
  <si>
    <t xml:space="preserve">Citigroup Inc.  </t>
  </si>
  <si>
    <t xml:space="preserve">Bank Of America Corporation  </t>
  </si>
  <si>
    <t xml:space="preserve">Walmart Inc.  </t>
  </si>
  <si>
    <t xml:space="preserve">Target Corporation  </t>
  </si>
  <si>
    <t xml:space="preserve">Costco Wholesale Corporation  </t>
  </si>
  <si>
    <t xml:space="preserve">Mcdonald'S Corporation  </t>
  </si>
  <si>
    <t xml:space="preserve">Exxon Mobil Corporation  </t>
  </si>
  <si>
    <t xml:space="preserve">Verizon Communications Inc.  </t>
  </si>
  <si>
    <t xml:space="preserve">The Home Depot, Inc.  </t>
  </si>
  <si>
    <t xml:space="preserve">Cisco Systems, Inc.  </t>
  </si>
  <si>
    <t xml:space="preserve">Chevron Corporation  </t>
  </si>
  <si>
    <t xml:space="preserve">At&amp;T Inc.  </t>
  </si>
  <si>
    <t xml:space="preserve">Intel Corporation  </t>
  </si>
  <si>
    <t xml:space="preserve">General Motors Company  </t>
  </si>
  <si>
    <t xml:space="preserve">Microsoft Corporation  </t>
  </si>
  <si>
    <t xml:space="preserve">Comcast Corporation  </t>
  </si>
  <si>
    <t xml:space="preserve">Dell Technologies Inc.  </t>
  </si>
  <si>
    <t xml:space="preserve">Johnson &amp; Johnson  </t>
  </si>
  <si>
    <t xml:space="preserve">Fedex Corporation  </t>
  </si>
  <si>
    <t xml:space="preserve">General Electric Company  </t>
  </si>
  <si>
    <t xml:space="preserve">Lockheed Martin Corporation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</si>
</sst>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[Red]\(&quot;$&quot;#,##0\)"/>
    <numFmt numFmtId="165" formatCode="0.0%"/>
    <numFmt numFmtId="166" formatCode="_-[$$-409]* #,##0.00_ ;_-[$$-409]* \-#,##0.00\ ;_-[$$-409]* &quot;-&quot;??_ ;_-@_ "/>
    <numFmt numFmtId="167" formatCode="dd/mm/yy;@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1" applyNumberFormat="1" applyFont="1" applyAlignment="1">
      <alignment vertical="center"/>
    </xf>
    <xf numFmtId="166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left" vertical="center"/>
    </xf>
    <xf numFmtId="167" fontId="0" fillId="0" borderId="0" xfId="0" applyNumberFormat="1"/>
    <xf numFmtId="0" fontId="0" fillId="0" borderId="0" xfId="0" applyNumberFormat="1"/>
  </cellXfs>
  <cellStyles count="4">
    <cellStyle name="Hyperlink 2" xfId="3" xr:uid="{58908141-E071-1541-9B36-DD82921445B4}"/>
    <cellStyle name="Normal" xfId="0" builtinId="0"/>
    <cellStyle name="Normal 2" xfId="2" xr:uid="{4AAE1376-EAB7-894A-AAED-92A8E08FA492}"/>
    <cellStyle name="Percent" xfId="1" builtinId="5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0.0%"/>
      <alignment vertical="center" textRotation="0" wrapText="0" indent="0" justifyLastLine="0" shrinkToFit="0" readingOrder="0"/>
    </dxf>
    <dxf>
      <numFmt numFmtId="166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numFmt numFmtId="166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numFmt numFmtId="167" formatCode="dd/mm/yy;@"/>
    </dxf>
    <dxf>
      <alignment horizontal="center" vertical="bottom" textRotation="0" wrapText="0" indent="0" justifyLastLine="0" shrinkToFit="0" readingOrder="0"/>
    </dxf>
    <dxf>
      <font>
        <b/>
        <i val="0"/>
      </font>
      <fill>
        <patternFill>
          <bgColor rgb="FFFF7D7D"/>
        </patternFill>
      </fill>
    </dxf>
  </dxfs>
  <tableStyles count="0" defaultTableStyle="TableStyleMedium2" defaultPivotStyle="PivotStyleLight16"/>
  <colors>
    <mruColors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314989-0EE3-49CD-94DE-F8942C00B908}" name="Table1" displayName="Table1" ref="B2:K30" totalsRowShown="0" headerRowDxfId="4">
  <autoFilter ref="B2:K30" xr:uid="{78314989-0EE3-49CD-94DE-F8942C00B908}"/>
  <sortState xmlns:xlrd2="http://schemas.microsoft.com/office/spreadsheetml/2017/richdata2" ref="B3:K30">
    <sortCondition ref="B2:B33"/>
  </sortState>
  <tableColumns count="10">
    <tableColumn id="1" xr3:uid="{C5C528E9-1E96-44E7-89DF-709D6245F24E}" name="Fecha" dataDxfId="3"/>
    <tableColumn id="2" xr3:uid="{A062B838-6532-4E7F-AD4A-78CB741E4B79}" name="Cliente"/>
    <tableColumn id="13" xr3:uid="{511021C5-5549-4F2B-B4A3-C519E12A56A3}" name="Código Cliente"/>
    <tableColumn id="3" xr3:uid="{2D519647-3C8E-4488-8794-79A1E2372233}" name="Contacto"/>
    <tableColumn id="12" xr3:uid="{ED5A12B5-043A-4032-BF89-90A527F4A7D6}" name="Departamento"/>
    <tableColumn id="11" xr3:uid="{70EA9B0B-5F84-4B7F-9D33-2BA6A4884C2B}" name="Estado"/>
    <tableColumn id="5" xr3:uid="{0F3E7364-5940-49DE-B564-3E7C73205C92}" name="Pago"/>
    <tableColumn id="6" xr3:uid="{3ABC3E38-4F05-4759-8F9F-C52B3036483F}" name="Ingresos" dataDxfId="2"/>
    <tableColumn id="7" xr3:uid="{CE5CA473-ED79-42FD-A4CF-2884B6CA9C72}" name="Beneficio" dataDxfId="1"/>
    <tableColumn id="8" xr3:uid="{288BF622-C11E-4846-BDC9-83700ADA21F2}" name="Margen" dataDxfId="0" dataCellStyle="Percent">
      <calculatedColumnFormula>IFERROR(Table1[[#This Row],[Beneficio]]/Table1[[#This Row],[Ingresos]], "NA")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M42"/>
  <sheetViews>
    <sheetView tabSelected="1" zoomScale="85" zoomScaleNormal="85" workbookViewId="0">
      <selection activeCell="M6" sqref="M6:M18"/>
    </sheetView>
  </sheetViews>
  <sheetFormatPr defaultColWidth="11.19921875" defaultRowHeight="15.6" x14ac:dyDescent="0.3"/>
  <cols>
    <col min="1" max="1" width="6.69921875" customWidth="1"/>
    <col min="2" max="2" width="9.69921875" bestFit="1" customWidth="1"/>
    <col min="3" max="3" width="30.59765625" customWidth="1"/>
    <col min="4" max="4" width="18.3984375" customWidth="1"/>
    <col min="5" max="5" width="17.19921875" bestFit="1" customWidth="1"/>
    <col min="6" max="6" width="18" customWidth="1"/>
    <col min="7" max="7" width="12.19921875" bestFit="1" customWidth="1"/>
    <col min="8" max="8" width="12" customWidth="1"/>
    <col min="9" max="9" width="14.19921875" customWidth="1"/>
    <col min="10" max="10" width="15.5" customWidth="1"/>
    <col min="11" max="11" width="12.796875" customWidth="1"/>
    <col min="18" max="18" width="15.19921875" customWidth="1"/>
  </cols>
  <sheetData>
    <row r="2" spans="2:13" ht="15.6" customHeight="1" x14ac:dyDescent="0.3">
      <c r="B2" s="2" t="s">
        <v>8</v>
      </c>
      <c r="C2" s="2" t="s">
        <v>9</v>
      </c>
      <c r="D2" s="2" t="s">
        <v>50</v>
      </c>
      <c r="E2" s="2" t="s">
        <v>10</v>
      </c>
      <c r="F2" s="2" t="s">
        <v>11</v>
      </c>
      <c r="G2" s="2" t="s">
        <v>48</v>
      </c>
      <c r="H2" s="2" t="s">
        <v>12</v>
      </c>
      <c r="I2" s="2" t="s">
        <v>7</v>
      </c>
      <c r="J2" s="2" t="s">
        <v>6</v>
      </c>
      <c r="K2" s="2" t="s">
        <v>5</v>
      </c>
    </row>
    <row r="3" spans="2:13" ht="15.6" customHeight="1" x14ac:dyDescent="0.3">
      <c r="B3" s="6">
        <v>45442</v>
      </c>
      <c r="C3" t="s">
        <v>78</v>
      </c>
      <c r="D3" t="s">
        <v>51</v>
      </c>
      <c r="E3" t="s">
        <v>15</v>
      </c>
      <c r="F3" t="s">
        <v>40</v>
      </c>
      <c r="G3" t="s">
        <v>41</v>
      </c>
      <c r="H3" t="s">
        <v>13</v>
      </c>
      <c r="I3" s="4">
        <v>4500</v>
      </c>
      <c r="J3" s="4">
        <v>598</v>
      </c>
      <c r="K3" s="3">
        <f>IFERROR(Table1[[#This Row],[Beneficio]]/Table1[[#This Row],[Ingresos]], "NA")</f>
        <v>0.13288888888888889</v>
      </c>
    </row>
    <row r="4" spans="2:13" ht="15.6" customHeight="1" x14ac:dyDescent="0.3">
      <c r="B4" s="6">
        <v>45442</v>
      </c>
      <c r="C4" t="s">
        <v>79</v>
      </c>
      <c r="D4" t="s">
        <v>52</v>
      </c>
      <c r="E4" t="s">
        <v>16</v>
      </c>
      <c r="F4" t="s">
        <v>42</v>
      </c>
      <c r="G4" t="s">
        <v>43</v>
      </c>
      <c r="H4" t="s">
        <v>38</v>
      </c>
      <c r="I4" s="4">
        <v>3800</v>
      </c>
      <c r="J4" s="4">
        <v>1045</v>
      </c>
      <c r="K4" s="3">
        <f>IFERROR(Table1[[#This Row],[Beneficio]]/Table1[[#This Row],[Ingresos]], "NA")</f>
        <v>0.27500000000000002</v>
      </c>
    </row>
    <row r="5" spans="2:13" ht="15.6" customHeight="1" x14ac:dyDescent="0.3">
      <c r="B5" s="6">
        <v>45442</v>
      </c>
      <c r="C5" t="s">
        <v>80</v>
      </c>
      <c r="D5" t="s">
        <v>53</v>
      </c>
      <c r="E5" t="s">
        <v>17</v>
      </c>
      <c r="F5" t="s">
        <v>42</v>
      </c>
      <c r="G5" t="s">
        <v>43</v>
      </c>
      <c r="I5" s="4">
        <v>3712.5</v>
      </c>
      <c r="J5" s="4">
        <v>1009</v>
      </c>
      <c r="K5" s="3">
        <f>IFERROR(Table1[[#This Row],[Beneficio]]/Table1[[#This Row],[Ingresos]], "NA")</f>
        <v>0.2717845117845118</v>
      </c>
    </row>
    <row r="6" spans="2:13" ht="15.6" customHeight="1" x14ac:dyDescent="0.3">
      <c r="B6" s="6">
        <v>45442</v>
      </c>
      <c r="C6" t="s">
        <v>81</v>
      </c>
      <c r="D6" t="s">
        <v>54</v>
      </c>
      <c r="E6" t="s">
        <v>0</v>
      </c>
      <c r="F6" t="s">
        <v>44</v>
      </c>
      <c r="G6" t="s">
        <v>45</v>
      </c>
      <c r="I6" s="5"/>
      <c r="J6" s="4">
        <v>779</v>
      </c>
      <c r="K6" s="3"/>
    </row>
    <row r="7" spans="2:13" ht="15.6" customHeight="1" x14ac:dyDescent="0.3">
      <c r="B7" s="6">
        <v>45442</v>
      </c>
      <c r="C7" t="s">
        <v>82</v>
      </c>
      <c r="D7" t="s">
        <v>55</v>
      </c>
      <c r="E7" t="s">
        <v>18</v>
      </c>
      <c r="F7" t="s">
        <v>44</v>
      </c>
      <c r="G7" t="s">
        <v>45</v>
      </c>
      <c r="H7" t="s">
        <v>39</v>
      </c>
      <c r="I7" s="4">
        <v>5000</v>
      </c>
      <c r="J7" s="4">
        <v>684</v>
      </c>
      <c r="K7" s="3">
        <f>IFERROR(Table1[[#This Row],[Beneficio]]/Table1[[#This Row],[Ingresos]], "NA")</f>
        <v>0.1368</v>
      </c>
    </row>
    <row r="8" spans="2:13" ht="15.6" customHeight="1" x14ac:dyDescent="0.3">
      <c r="B8" s="6">
        <v>45443</v>
      </c>
      <c r="C8" t="s">
        <v>83</v>
      </c>
      <c r="D8" t="s">
        <v>56</v>
      </c>
      <c r="E8" t="s">
        <v>19</v>
      </c>
      <c r="F8" t="s">
        <v>40</v>
      </c>
      <c r="G8" t="s">
        <v>41</v>
      </c>
      <c r="H8" t="s">
        <v>13</v>
      </c>
      <c r="I8" s="4">
        <v>6100</v>
      </c>
      <c r="J8" s="4">
        <v>544</v>
      </c>
      <c r="K8" s="3">
        <f>IFERROR(Table1[[#This Row],[Beneficio]]/Table1[[#This Row],[Ingresos]], "NA")</f>
        <v>8.9180327868852466E-2</v>
      </c>
    </row>
    <row r="9" spans="2:13" ht="15.6" customHeight="1" x14ac:dyDescent="0.3">
      <c r="B9" s="6">
        <v>45443</v>
      </c>
      <c r="C9" t="s">
        <v>84</v>
      </c>
      <c r="D9" t="s">
        <v>57</v>
      </c>
      <c r="E9" t="s">
        <v>20</v>
      </c>
      <c r="F9" t="s">
        <v>40</v>
      </c>
      <c r="G9" t="s">
        <v>41</v>
      </c>
      <c r="H9" t="s">
        <v>13</v>
      </c>
      <c r="I9" s="4">
        <v>4625</v>
      </c>
      <c r="J9" s="4">
        <v>670</v>
      </c>
      <c r="K9" s="3">
        <f>IFERROR(Table1[[#This Row],[Beneficio]]/Table1[[#This Row],[Ingresos]], "NA")</f>
        <v>0.14486486486486486</v>
      </c>
    </row>
    <row r="10" spans="2:13" ht="15.6" customHeight="1" x14ac:dyDescent="0.3">
      <c r="B10" s="6">
        <v>45443</v>
      </c>
      <c r="C10" t="s">
        <v>85</v>
      </c>
      <c r="D10" t="s">
        <v>58</v>
      </c>
      <c r="E10" t="s">
        <v>21</v>
      </c>
      <c r="F10" t="s">
        <v>40</v>
      </c>
      <c r="G10" t="s">
        <v>41</v>
      </c>
      <c r="H10" t="s">
        <v>13</v>
      </c>
      <c r="I10" s="4">
        <v>3800</v>
      </c>
      <c r="J10" s="4">
        <v>2045</v>
      </c>
      <c r="K10" s="3">
        <f>IFERROR(Table1[[#This Row],[Beneficio]]/Table1[[#This Row],[Ingresos]], "NA")</f>
        <v>0.53815789473684206</v>
      </c>
    </row>
    <row r="11" spans="2:13" ht="15.6" customHeight="1" x14ac:dyDescent="0.3">
      <c r="B11" s="6">
        <v>45443</v>
      </c>
      <c r="C11" t="s">
        <v>86</v>
      </c>
      <c r="D11" t="s">
        <v>59</v>
      </c>
      <c r="E11" t="s">
        <v>1</v>
      </c>
      <c r="F11" t="s">
        <v>40</v>
      </c>
      <c r="G11" t="s">
        <v>41</v>
      </c>
      <c r="H11" t="s">
        <v>14</v>
      </c>
      <c r="I11" s="4">
        <v>3600</v>
      </c>
      <c r="J11" s="4">
        <v>1564</v>
      </c>
      <c r="K11" s="3">
        <f>IFERROR(Table1[[#This Row],[Beneficio]]/Table1[[#This Row],[Ingresos]], "NA")</f>
        <v>0.43444444444444447</v>
      </c>
      <c r="M11" s="7"/>
    </row>
    <row r="12" spans="2:13" ht="15.6" customHeight="1" x14ac:dyDescent="0.3">
      <c r="B12" s="6">
        <v>45443</v>
      </c>
      <c r="C12" t="s">
        <v>87</v>
      </c>
      <c r="D12" t="s">
        <v>60</v>
      </c>
      <c r="E12" t="s">
        <v>2</v>
      </c>
      <c r="F12" t="s">
        <v>40</v>
      </c>
      <c r="G12" t="s">
        <v>41</v>
      </c>
      <c r="H12" t="s">
        <v>39</v>
      </c>
      <c r="I12" s="4">
        <v>5100</v>
      </c>
      <c r="J12" s="4">
        <v>1220</v>
      </c>
      <c r="K12" s="3">
        <f>IFERROR(Table1[[#This Row],[Beneficio]]/Table1[[#This Row],[Ingresos]], "NA")</f>
        <v>0.23921568627450981</v>
      </c>
      <c r="M12" s="7"/>
    </row>
    <row r="13" spans="2:13" ht="15.6" customHeight="1" x14ac:dyDescent="0.3">
      <c r="B13" s="6">
        <v>45443</v>
      </c>
      <c r="C13" t="s">
        <v>88</v>
      </c>
      <c r="D13" t="s">
        <v>61</v>
      </c>
      <c r="E13" t="s">
        <v>22</v>
      </c>
      <c r="F13" t="s">
        <v>40</v>
      </c>
      <c r="G13" t="s">
        <v>41</v>
      </c>
      <c r="H13" t="s">
        <v>39</v>
      </c>
      <c r="I13" s="4">
        <v>4750</v>
      </c>
      <c r="J13" s="4">
        <v>1435</v>
      </c>
      <c r="K13" s="3">
        <f>IFERROR(Table1[[#This Row],[Beneficio]]/Table1[[#This Row],[Ingresos]], "NA")</f>
        <v>0.30210526315789471</v>
      </c>
      <c r="M13" s="7"/>
    </row>
    <row r="14" spans="2:13" ht="15.6" customHeight="1" x14ac:dyDescent="0.3">
      <c r="B14" s="6">
        <v>45443</v>
      </c>
      <c r="C14" t="s">
        <v>89</v>
      </c>
      <c r="D14" t="s">
        <v>62</v>
      </c>
      <c r="E14" t="s">
        <v>23</v>
      </c>
      <c r="F14" t="s">
        <v>44</v>
      </c>
      <c r="G14" t="s">
        <v>45</v>
      </c>
      <c r="H14" t="s">
        <v>13</v>
      </c>
      <c r="I14" s="4">
        <v>6000</v>
      </c>
      <c r="J14" s="4">
        <v>998</v>
      </c>
      <c r="K14" s="3">
        <f>IFERROR(Table1[[#This Row],[Beneficio]]/Table1[[#This Row],[Ingresos]], "NA")</f>
        <v>0.16633333333333333</v>
      </c>
    </row>
    <row r="15" spans="2:13" ht="15.6" customHeight="1" x14ac:dyDescent="0.3">
      <c r="B15" s="6">
        <v>45443</v>
      </c>
      <c r="C15" t="s">
        <v>90</v>
      </c>
      <c r="D15" t="s">
        <v>63</v>
      </c>
      <c r="E15" t="s">
        <v>24</v>
      </c>
      <c r="F15" t="s">
        <v>46</v>
      </c>
      <c r="G15" t="s">
        <v>47</v>
      </c>
      <c r="H15" t="s">
        <v>39</v>
      </c>
      <c r="I15" s="4">
        <v>4500</v>
      </c>
      <c r="J15" s="4">
        <v>780</v>
      </c>
      <c r="K15" s="3">
        <f>IFERROR(Table1[[#This Row],[Beneficio]]/Table1[[#This Row],[Ingresos]], "NA")</f>
        <v>0.17333333333333334</v>
      </c>
    </row>
    <row r="16" spans="2:13" ht="15.6" customHeight="1" x14ac:dyDescent="0.3">
      <c r="B16" s="6">
        <v>45444</v>
      </c>
      <c r="C16" t="s">
        <v>91</v>
      </c>
      <c r="D16" t="s">
        <v>64</v>
      </c>
      <c r="E16" t="s">
        <v>3</v>
      </c>
      <c r="F16" t="s">
        <v>46</v>
      </c>
      <c r="G16" t="s">
        <v>47</v>
      </c>
      <c r="H16" t="s">
        <v>14</v>
      </c>
      <c r="I16" s="5"/>
      <c r="J16" s="4">
        <v>1044</v>
      </c>
      <c r="K16" s="3"/>
    </row>
    <row r="17" spans="2:11" ht="15.6" customHeight="1" x14ac:dyDescent="0.3">
      <c r="B17" s="6">
        <v>45444</v>
      </c>
      <c r="C17" t="s">
        <v>92</v>
      </c>
      <c r="D17" t="s">
        <v>65</v>
      </c>
      <c r="E17" t="s">
        <v>25</v>
      </c>
      <c r="F17" t="s">
        <v>46</v>
      </c>
      <c r="G17" t="s">
        <v>47</v>
      </c>
      <c r="H17" t="s">
        <v>13</v>
      </c>
      <c r="I17" s="4">
        <v>3712.5</v>
      </c>
      <c r="J17" s="4">
        <v>1222</v>
      </c>
      <c r="K17" s="3">
        <f>IFERROR(Table1[[#This Row],[Beneficio]]/Table1[[#This Row],[Ingresos]], "NA")</f>
        <v>0.32915824915824915</v>
      </c>
    </row>
    <row r="18" spans="2:11" ht="15.6" customHeight="1" x14ac:dyDescent="0.3">
      <c r="B18" s="6">
        <v>45444</v>
      </c>
      <c r="C18" t="s">
        <v>93</v>
      </c>
      <c r="D18" t="s">
        <v>66</v>
      </c>
      <c r="E18" t="s">
        <v>26</v>
      </c>
      <c r="F18" t="s">
        <v>46</v>
      </c>
      <c r="G18" t="s">
        <v>47</v>
      </c>
      <c r="H18" t="s">
        <v>13</v>
      </c>
      <c r="I18" s="4">
        <v>4950</v>
      </c>
      <c r="J18" s="4">
        <v>1065</v>
      </c>
      <c r="K18" s="3">
        <f>IFERROR(Table1[[#This Row],[Beneficio]]/Table1[[#This Row],[Ingresos]], "NA")</f>
        <v>0.21515151515151515</v>
      </c>
    </row>
    <row r="19" spans="2:11" ht="15.6" customHeight="1" x14ac:dyDescent="0.3">
      <c r="B19" s="6">
        <v>45444</v>
      </c>
      <c r="C19" t="s">
        <v>94</v>
      </c>
      <c r="D19" t="s">
        <v>67</v>
      </c>
      <c r="E19" t="s">
        <v>27</v>
      </c>
      <c r="F19" t="s">
        <v>44</v>
      </c>
      <c r="G19" t="s">
        <v>45</v>
      </c>
      <c r="H19" t="s">
        <v>13</v>
      </c>
      <c r="I19" s="4">
        <v>4750</v>
      </c>
      <c r="J19" s="4">
        <v>810</v>
      </c>
      <c r="K19" s="3">
        <f>IFERROR(Table1[[#This Row],[Beneficio]]/Table1[[#This Row],[Ingresos]], "NA")</f>
        <v>0.17052631578947369</v>
      </c>
    </row>
    <row r="20" spans="2:11" ht="15.6" customHeight="1" x14ac:dyDescent="0.3">
      <c r="B20" s="6">
        <v>45444</v>
      </c>
      <c r="C20" t="s">
        <v>95</v>
      </c>
      <c r="D20" t="s">
        <v>68</v>
      </c>
      <c r="E20" t="s">
        <v>28</v>
      </c>
      <c r="F20" t="s">
        <v>44</v>
      </c>
      <c r="G20" t="s">
        <v>45</v>
      </c>
      <c r="H20" t="s">
        <v>13</v>
      </c>
      <c r="I20" s="4">
        <v>7320</v>
      </c>
      <c r="J20" s="4">
        <v>933</v>
      </c>
      <c r="K20" s="3">
        <f>IFERROR(Table1[[#This Row],[Beneficio]]/Table1[[#This Row],[Ingresos]], "NA")</f>
        <v>0.12745901639344262</v>
      </c>
    </row>
    <row r="21" spans="2:11" ht="15.6" customHeight="1" x14ac:dyDescent="0.3">
      <c r="B21" s="6">
        <v>45444</v>
      </c>
      <c r="C21" t="s">
        <v>96</v>
      </c>
      <c r="D21" t="s">
        <v>69</v>
      </c>
      <c r="E21" t="s">
        <v>29</v>
      </c>
      <c r="F21" t="s">
        <v>46</v>
      </c>
      <c r="G21" t="s">
        <v>47</v>
      </c>
      <c r="H21" t="s">
        <v>13</v>
      </c>
      <c r="I21" s="4">
        <v>5087.5</v>
      </c>
      <c r="J21" s="4">
        <v>655</v>
      </c>
      <c r="K21" s="3">
        <f>IFERROR(Table1[[#This Row],[Beneficio]]/Table1[[#This Row],[Ingresos]], "NA")</f>
        <v>0.12874692874692875</v>
      </c>
    </row>
    <row r="22" spans="2:11" ht="15.6" customHeight="1" x14ac:dyDescent="0.3">
      <c r="B22" s="6">
        <v>45444</v>
      </c>
      <c r="C22" t="s">
        <v>97</v>
      </c>
      <c r="D22" t="s">
        <v>70</v>
      </c>
      <c r="E22" t="s">
        <v>30</v>
      </c>
      <c r="F22" t="s">
        <v>46</v>
      </c>
      <c r="G22" t="s">
        <v>47</v>
      </c>
      <c r="H22" t="s">
        <v>13</v>
      </c>
      <c r="I22" s="4">
        <v>4500</v>
      </c>
      <c r="J22" s="4">
        <v>722</v>
      </c>
      <c r="K22" s="3">
        <f>IFERROR(Table1[[#This Row],[Beneficio]]/Table1[[#This Row],[Ingresos]], "NA")</f>
        <v>0.16044444444444445</v>
      </c>
    </row>
    <row r="23" spans="2:11" ht="15.6" customHeight="1" x14ac:dyDescent="0.3">
      <c r="B23" s="6">
        <v>45444</v>
      </c>
      <c r="C23" t="s">
        <v>98</v>
      </c>
      <c r="D23" t="s">
        <v>71</v>
      </c>
      <c r="E23" t="s">
        <v>31</v>
      </c>
      <c r="F23" t="s">
        <v>46</v>
      </c>
      <c r="G23" t="s">
        <v>47</v>
      </c>
      <c r="H23" t="s">
        <v>14</v>
      </c>
      <c r="I23" s="4">
        <v>4250</v>
      </c>
      <c r="J23" s="4">
        <v>901</v>
      </c>
      <c r="K23" s="3">
        <f>IFERROR(Table1[[#This Row],[Beneficio]]/Table1[[#This Row],[Ingresos]], "NA")</f>
        <v>0.21199999999999999</v>
      </c>
    </row>
    <row r="24" spans="2:11" ht="15.6" customHeight="1" x14ac:dyDescent="0.3">
      <c r="B24" s="6">
        <v>45445</v>
      </c>
      <c r="C24" t="s">
        <v>99</v>
      </c>
      <c r="D24" t="s">
        <v>72</v>
      </c>
      <c r="E24" t="s">
        <v>32</v>
      </c>
      <c r="F24" t="s">
        <v>46</v>
      </c>
      <c r="G24" t="s">
        <v>47</v>
      </c>
      <c r="H24" t="s">
        <v>38</v>
      </c>
      <c r="I24" s="4">
        <v>5250</v>
      </c>
      <c r="J24" s="4">
        <v>1349</v>
      </c>
      <c r="K24" s="3">
        <f>IFERROR(Table1[[#This Row],[Beneficio]]/Table1[[#This Row],[Ingresos]], "NA")</f>
        <v>0.25695238095238093</v>
      </c>
    </row>
    <row r="25" spans="2:11" ht="15.6" customHeight="1" x14ac:dyDescent="0.3">
      <c r="B25" s="6">
        <v>45445</v>
      </c>
      <c r="C25" t="s">
        <v>100</v>
      </c>
      <c r="D25" t="s">
        <v>73</v>
      </c>
      <c r="E25" t="s">
        <v>33</v>
      </c>
      <c r="F25" t="s">
        <v>42</v>
      </c>
      <c r="G25" t="s">
        <v>43</v>
      </c>
      <c r="H25" t="s">
        <v>38</v>
      </c>
      <c r="I25" s="4">
        <v>6500</v>
      </c>
      <c r="J25" s="4">
        <v>1288</v>
      </c>
      <c r="K25" s="3">
        <f>IFERROR(Table1[[#This Row],[Beneficio]]/Table1[[#This Row],[Ingresos]], "NA")</f>
        <v>0.19815384615384615</v>
      </c>
    </row>
    <row r="26" spans="2:11" ht="15.6" customHeight="1" x14ac:dyDescent="0.3">
      <c r="B26" s="6">
        <v>45445</v>
      </c>
      <c r="C26" t="s">
        <v>101</v>
      </c>
      <c r="D26" t="s">
        <v>49</v>
      </c>
      <c r="E26" t="s">
        <v>34</v>
      </c>
      <c r="F26" t="s">
        <v>42</v>
      </c>
      <c r="G26" t="s">
        <v>43</v>
      </c>
      <c r="H26" t="s">
        <v>38</v>
      </c>
      <c r="I26" s="4">
        <v>7500</v>
      </c>
      <c r="J26" s="4">
        <v>1664</v>
      </c>
      <c r="K26" s="3">
        <f>IFERROR(Table1[[#This Row],[Beneficio]]/Table1[[#This Row],[Ingresos]], "NA")</f>
        <v>0.22186666666666666</v>
      </c>
    </row>
    <row r="27" spans="2:11" ht="15.6" customHeight="1" x14ac:dyDescent="0.3">
      <c r="B27" s="6">
        <v>45445</v>
      </c>
      <c r="C27" t="s">
        <v>102</v>
      </c>
      <c r="D27" t="s">
        <v>74</v>
      </c>
      <c r="E27" t="s">
        <v>35</v>
      </c>
      <c r="F27" t="s">
        <v>42</v>
      </c>
      <c r="G27" t="s">
        <v>43</v>
      </c>
      <c r="H27" t="s">
        <v>13</v>
      </c>
      <c r="I27" s="4">
        <v>5500</v>
      </c>
      <c r="J27" s="4">
        <v>1320</v>
      </c>
      <c r="K27" s="3">
        <f>IFERROR(Table1[[#This Row],[Beneficio]]/Table1[[#This Row],[Ingresos]], "NA")</f>
        <v>0.24</v>
      </c>
    </row>
    <row r="28" spans="2:11" ht="15.6" customHeight="1" x14ac:dyDescent="0.3">
      <c r="B28" s="6">
        <v>45445</v>
      </c>
      <c r="C28" t="s">
        <v>103</v>
      </c>
      <c r="D28" t="s">
        <v>75</v>
      </c>
      <c r="E28" t="s">
        <v>36</v>
      </c>
      <c r="F28" t="s">
        <v>42</v>
      </c>
      <c r="G28" t="s">
        <v>43</v>
      </c>
      <c r="H28" t="s">
        <v>13</v>
      </c>
      <c r="I28" s="4">
        <v>4625</v>
      </c>
      <c r="J28" s="4">
        <v>1001</v>
      </c>
      <c r="K28" s="3">
        <f>IFERROR(Table1[[#This Row],[Beneficio]]/Table1[[#This Row],[Ingresos]], "NA")</f>
        <v>0.21643243243243243</v>
      </c>
    </row>
    <row r="29" spans="2:11" ht="15.6" customHeight="1" x14ac:dyDescent="0.3">
      <c r="B29" s="6">
        <v>45445</v>
      </c>
      <c r="C29" t="s">
        <v>104</v>
      </c>
      <c r="D29" t="s">
        <v>76</v>
      </c>
      <c r="E29" t="s">
        <v>37</v>
      </c>
      <c r="F29" t="s">
        <v>42</v>
      </c>
      <c r="G29" t="s">
        <v>43</v>
      </c>
      <c r="H29" t="s">
        <v>13</v>
      </c>
      <c r="I29" s="4">
        <v>4500</v>
      </c>
      <c r="J29" s="4">
        <v>960</v>
      </c>
      <c r="K29" s="3">
        <f>IFERROR(Table1[[#This Row],[Beneficio]]/Table1[[#This Row],[Ingresos]], "NA")</f>
        <v>0.21333333333333335</v>
      </c>
    </row>
    <row r="30" spans="2:11" ht="15.6" customHeight="1" x14ac:dyDescent="0.3">
      <c r="B30" s="6">
        <v>45445</v>
      </c>
      <c r="C30" t="s">
        <v>105</v>
      </c>
      <c r="D30" t="s">
        <v>77</v>
      </c>
      <c r="E30" t="s">
        <v>4</v>
      </c>
      <c r="F30" t="s">
        <v>42</v>
      </c>
      <c r="G30" t="s">
        <v>43</v>
      </c>
      <c r="H30" t="s">
        <v>14</v>
      </c>
      <c r="I30" s="4">
        <v>5400</v>
      </c>
      <c r="J30" s="4">
        <v>540</v>
      </c>
      <c r="K30" s="3">
        <f>IFERROR(Table1[[#This Row],[Beneficio]]/Table1[[#This Row],[Ingresos]], "NA")</f>
        <v>0.1</v>
      </c>
    </row>
    <row r="31" spans="2:11" ht="15.6" customHeight="1" x14ac:dyDescent="0.3"/>
    <row r="32" spans="2:11" ht="15.6" customHeight="1" x14ac:dyDescent="0.3"/>
    <row r="33" spans="8:8" ht="15.6" customHeight="1" x14ac:dyDescent="0.3"/>
    <row r="34" spans="8:8" x14ac:dyDescent="0.3">
      <c r="H34" s="1"/>
    </row>
    <row r="35" spans="8:8" x14ac:dyDescent="0.3">
      <c r="H35" s="1"/>
    </row>
    <row r="36" spans="8:8" x14ac:dyDescent="0.3">
      <c r="H36" s="1"/>
    </row>
    <row r="37" spans="8:8" x14ac:dyDescent="0.3">
      <c r="H37" s="1"/>
    </row>
    <row r="38" spans="8:8" x14ac:dyDescent="0.3">
      <c r="H38" s="1"/>
    </row>
    <row r="39" spans="8:8" x14ac:dyDescent="0.3">
      <c r="H39" s="1"/>
    </row>
    <row r="40" spans="8:8" x14ac:dyDescent="0.3">
      <c r="H40" s="1"/>
    </row>
    <row r="41" spans="8:8" x14ac:dyDescent="0.3">
      <c r="H41" s="1"/>
    </row>
    <row r="42" spans="8:8" x14ac:dyDescent="0.3">
      <c r="H42" s="1"/>
    </row>
  </sheetData>
  <phoneticPr fontId="3" type="noConversion"/>
  <conditionalFormatting sqref="B3:K30">
    <cfRule type="cellIs" dxfId="5" priority="2" operator="equal">
      <formula>$H$5</formula>
    </cfRule>
  </conditionalFormatting>
  <dataValidations count="3">
    <dataValidation type="list" allowBlank="1" showInputMessage="1" showErrorMessage="1" errorTitle="Estado no Valido" error="Selecciona un Estado de la Lista desplegable" promptTitle="Selección Estado" prompt="Selecciona el Estado de la Lista desplegable" sqref="G3:G30" xr:uid="{8A59EBEC-8E3F-4344-BFF7-400397B882F5}">
      <formula1>"New York, Texas, California, Florida"</formula1>
    </dataValidation>
    <dataValidation type="list" allowBlank="1" showInputMessage="1" showErrorMessage="1" errorTitle="Tipo de Pago no Valido" error="Selecciona un Tipo de Pago de la Lista desplegable" promptTitle="Selección Tipo de Pago" prompt="Selecciona un Tipo de Pago de la Lista desplegable" sqref="H3:H30" xr:uid="{E30AA616-E942-4106-BDD8-ACED494D40E9}">
      <formula1>"Cheque, Transferencia, Paypal, Targeta"</formula1>
    </dataValidation>
    <dataValidation type="date" allowBlank="1" showInputMessage="1" showErrorMessage="1" errorTitle="Fecha no Valida" error="Ingresa una fecha del año 2024" promptTitle="Ingreso Fecha" prompt="Ingresa la Fecha del año 2024" sqref="B3:B30" xr:uid="{061434E3-FD04-405F-9989-DD615E4F8D22}">
      <formula1>45292</formula1>
      <formula2>45657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 de 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JOAO MARCO QUISPE HUAMAN</cp:lastModifiedBy>
  <dcterms:created xsi:type="dcterms:W3CDTF">2023-05-29T07:26:35Z</dcterms:created>
  <dcterms:modified xsi:type="dcterms:W3CDTF">2026-07-12T06:11:13Z</dcterms:modified>
</cp:coreProperties>
</file>